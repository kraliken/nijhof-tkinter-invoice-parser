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U:\Nijhof_W88\3_ONBOARDING\.CEGNEV\1_KONYVELES IMPL\Guide\volvo\"/>
    </mc:Choice>
  </mc:AlternateContent>
  <xr:revisionPtr revIDLastSave="0" documentId="13_ncr:1_{F2160B31-15BD-4457-A4BA-C43DCAFFC54F}" xr6:coauthVersionLast="47" xr6:coauthVersionMax="47" xr10:uidLastSave="{00000000-0000-0000-0000-000000000000}"/>
  <bookViews>
    <workbookView xWindow="-108" yWindow="-108" windowWidth="23256" windowHeight="12456" activeTab="5" xr2:uid="{A55D8758-63F0-4536-8929-7AC77C8F535C}"/>
  </bookViews>
  <sheets>
    <sheet name="control" sheetId="5" r:id="rId1"/>
    <sheet name="raw_data" sheetId="8" r:id="rId2"/>
    <sheet name="input" sheetId="1" state="hidden" r:id="rId3"/>
    <sheet name="segéd" sheetId="2" state="hidden" r:id="rId4"/>
    <sheet name="mapping" sheetId="3" r:id="rId5"/>
    <sheet name="sablon" sheetId="4" r:id="rId6"/>
    <sheet name="output" sheetId="7" r:id="rId7"/>
  </sheets>
  <definedNames>
    <definedName name="_xlnm._FilterDatabase" localSheetId="4" hidden="1">mapping!$A$1:$G$209</definedName>
    <definedName name="_xlnm._FilterDatabase" localSheetId="1" hidden="1">raw_data!$A$1:$A$40</definedName>
    <definedName name="_xlnm._FilterDatabase" localSheetId="5" hidden="1">sablon!$A$4:$AY$4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1" i="7" l="1"/>
  <c r="Z41" i="7"/>
  <c r="AB40" i="7"/>
  <c r="Z40" i="7"/>
  <c r="AB39" i="7"/>
  <c r="Z39" i="7"/>
  <c r="AB38" i="7"/>
  <c r="Z38" i="7"/>
  <c r="AB37" i="7"/>
  <c r="Z37" i="7"/>
  <c r="AB36" i="7"/>
  <c r="Z36" i="7"/>
  <c r="AB35" i="7"/>
  <c r="Z35" i="7"/>
  <c r="AB34" i="7"/>
  <c r="Z34" i="7"/>
  <c r="AB33" i="7"/>
  <c r="Z33" i="7"/>
  <c r="AB32" i="7"/>
  <c r="Z32" i="7"/>
  <c r="AB31" i="7"/>
  <c r="Z31" i="7"/>
  <c r="AB30" i="7"/>
  <c r="Z30" i="7"/>
  <c r="AB29" i="7"/>
  <c r="Z29" i="7"/>
  <c r="AB28" i="7"/>
  <c r="Z28" i="7"/>
  <c r="AB27" i="7"/>
  <c r="Z27" i="7"/>
  <c r="AB26" i="7"/>
  <c r="Z26" i="7"/>
  <c r="AB25" i="7"/>
  <c r="Z25" i="7"/>
  <c r="AB24" i="7"/>
  <c r="Z24" i="7"/>
  <c r="AB23" i="7"/>
  <c r="Z23" i="7"/>
  <c r="AB22" i="7"/>
  <c r="Z22" i="7"/>
  <c r="AB21" i="7"/>
  <c r="Z21" i="7"/>
  <c r="AB20" i="7"/>
  <c r="Z20" i="7"/>
  <c r="AB19" i="7"/>
  <c r="Z19" i="7"/>
  <c r="AB18" i="7"/>
  <c r="Z18" i="7"/>
  <c r="AB17" i="7"/>
  <c r="Z17" i="7"/>
  <c r="AB16" i="7"/>
  <c r="Z16" i="7"/>
  <c r="AB15" i="7"/>
  <c r="Z15" i="7"/>
  <c r="AB14" i="7"/>
  <c r="Z14" i="7"/>
  <c r="AB13" i="7"/>
  <c r="Z13" i="7"/>
  <c r="AB12" i="7"/>
  <c r="Z12" i="7"/>
  <c r="AB11" i="7"/>
  <c r="Z11" i="7"/>
  <c r="AB10" i="7"/>
  <c r="Z10" i="7"/>
  <c r="AB9" i="7"/>
  <c r="Z9" i="7"/>
  <c r="AB8" i="7"/>
  <c r="Z8" i="7"/>
  <c r="AB7" i="7"/>
  <c r="Z7" i="7"/>
  <c r="AB6" i="7"/>
  <c r="Z6" i="7"/>
  <c r="AB5" i="7"/>
  <c r="Z5" i="7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P35" i="1" l="1"/>
  <c r="R35" i="1" s="1"/>
  <c r="P34" i="1"/>
  <c r="R34" i="1" s="1"/>
  <c r="P33" i="1"/>
  <c r="R33" i="1" s="1"/>
  <c r="P32" i="1"/>
  <c r="R32" i="1" s="1"/>
  <c r="P31" i="1"/>
  <c r="R31" i="1" s="1"/>
  <c r="P30" i="1"/>
  <c r="R30" i="1" s="1"/>
  <c r="P29" i="1"/>
  <c r="R29" i="1" s="1"/>
  <c r="P28" i="1"/>
  <c r="R28" i="1" s="1"/>
  <c r="P27" i="1"/>
  <c r="R27" i="1" s="1"/>
  <c r="P26" i="1"/>
  <c r="R26" i="1" s="1"/>
  <c r="P25" i="1"/>
  <c r="R25" i="1" s="1"/>
  <c r="P24" i="1"/>
  <c r="R24" i="1" s="1"/>
  <c r="P23" i="1"/>
  <c r="R23" i="1" s="1"/>
  <c r="P22" i="1"/>
  <c r="R22" i="1" s="1"/>
  <c r="P21" i="1"/>
  <c r="R21" i="1" s="1"/>
  <c r="P20" i="1"/>
  <c r="R20" i="1" s="1"/>
  <c r="P19" i="1"/>
  <c r="R19" i="1" s="1"/>
  <c r="P18" i="1"/>
  <c r="R18" i="1" s="1"/>
  <c r="P17" i="1"/>
  <c r="R17" i="1" s="1"/>
  <c r="P16" i="1"/>
  <c r="R16" i="1" s="1"/>
  <c r="P15" i="1"/>
  <c r="R15" i="1" s="1"/>
  <c r="P14" i="1"/>
  <c r="R14" i="1" s="1"/>
  <c r="G40" i="1"/>
  <c r="I40" i="1" s="1"/>
  <c r="G39" i="1"/>
  <c r="I39" i="1" s="1"/>
  <c r="G38" i="1"/>
  <c r="I38" i="1" s="1"/>
  <c r="G37" i="1"/>
  <c r="I37" i="1" s="1"/>
  <c r="G36" i="1"/>
  <c r="I36" i="1" s="1"/>
  <c r="G35" i="1"/>
  <c r="I35" i="1" s="1"/>
  <c r="G34" i="1"/>
  <c r="I34" i="1" s="1"/>
  <c r="G33" i="1"/>
  <c r="I33" i="1" s="1"/>
  <c r="G32" i="1"/>
  <c r="I32" i="1" s="1"/>
  <c r="G31" i="1"/>
  <c r="I31" i="1" s="1"/>
  <c r="G30" i="1"/>
  <c r="I30" i="1" s="1"/>
  <c r="G29" i="1"/>
  <c r="I29" i="1" s="1"/>
  <c r="G28" i="1"/>
  <c r="I28" i="1" s="1"/>
  <c r="G27" i="1"/>
  <c r="I27" i="1" s="1"/>
  <c r="G26" i="1"/>
  <c r="I26" i="1" s="1"/>
  <c r="G25" i="1"/>
  <c r="I25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4" i="1"/>
  <c r="I14" i="1" s="1"/>
  <c r="R36" i="1" l="1"/>
  <c r="I41" i="1"/>
</calcChain>
</file>

<file path=xl/sharedStrings.xml><?xml version="1.0" encoding="utf-8"?>
<sst xmlns="http://schemas.openxmlformats.org/spreadsheetml/2006/main" count="2146" uniqueCount="345">
  <si>
    <t>CODE KOSTENPLAATS</t>
  </si>
  <si>
    <t>OMSCHRIJVING</t>
  </si>
  <si>
    <t>Diesel</t>
  </si>
  <si>
    <t>STATIONSCODE</t>
  </si>
  <si>
    <t>Som van VOLUME</t>
  </si>
  <si>
    <t>KENTEKEN</t>
  </si>
  <si>
    <t>AAHR352</t>
  </si>
  <si>
    <t>AAKM277</t>
  </si>
  <si>
    <t>AECU228</t>
  </si>
  <si>
    <t>AECU229</t>
  </si>
  <si>
    <t>AEFI107</t>
  </si>
  <si>
    <t>AEFI108</t>
  </si>
  <si>
    <t>AEHF928</t>
  </si>
  <si>
    <t>AEHF929</t>
  </si>
  <si>
    <t>NWH006</t>
  </si>
  <si>
    <t>NWH020</t>
  </si>
  <si>
    <t>NWH026</t>
  </si>
  <si>
    <t>NWH033</t>
  </si>
  <si>
    <t>NWH035</t>
  </si>
  <si>
    <t>NWH051</t>
  </si>
  <si>
    <t>THF244</t>
  </si>
  <si>
    <t>WNH004</t>
  </si>
  <si>
    <t>WNH005</t>
  </si>
  <si>
    <t>WNH006</t>
  </si>
  <si>
    <t>WNH007</t>
  </si>
  <si>
    <t>WNH008</t>
  </si>
  <si>
    <t>WNH009</t>
  </si>
  <si>
    <t>WNH010</t>
  </si>
  <si>
    <t>WNH011</t>
  </si>
  <si>
    <t>WNH012</t>
  </si>
  <si>
    <t>WNH013</t>
  </si>
  <si>
    <t>WNH014</t>
  </si>
  <si>
    <t>WNH020</t>
  </si>
  <si>
    <t>Cost center</t>
  </si>
  <si>
    <t>Licence plate</t>
  </si>
  <si>
    <t>code</t>
  </si>
  <si>
    <t>Classif</t>
  </si>
  <si>
    <t>Feed Cargill</t>
  </si>
  <si>
    <t>AACE134</t>
  </si>
  <si>
    <t>SECDIR</t>
  </si>
  <si>
    <t>Feed Netwerk</t>
  </si>
  <si>
    <t>AACI887</t>
  </si>
  <si>
    <t>AADF354</t>
  </si>
  <si>
    <t>AAET169</t>
  </si>
  <si>
    <t>AAFC928</t>
  </si>
  <si>
    <t>Feed Agrifirm</t>
  </si>
  <si>
    <t>AAFD030</t>
  </si>
  <si>
    <t>AAFD067</t>
  </si>
  <si>
    <t>LBL</t>
  </si>
  <si>
    <t>AAIT842</t>
  </si>
  <si>
    <t>DBL</t>
  </si>
  <si>
    <t>AAKV970</t>
  </si>
  <si>
    <t>AEAA923</t>
  </si>
  <si>
    <t>AEAA924</t>
  </si>
  <si>
    <t>AEAM008</t>
  </si>
  <si>
    <t>AEAV882</t>
  </si>
  <si>
    <t>AEDV637</t>
  </si>
  <si>
    <t>AEFI114</t>
  </si>
  <si>
    <t>AEFI115</t>
  </si>
  <si>
    <t>AEGB567</t>
  </si>
  <si>
    <t>AEGB568</t>
  </si>
  <si>
    <t>AEGZ287</t>
  </si>
  <si>
    <t>AEGZ288</t>
  </si>
  <si>
    <t>AEKJ432</t>
  </si>
  <si>
    <t>AEKJ433</t>
  </si>
  <si>
    <t>AEKJ434</t>
  </si>
  <si>
    <t>AELG898</t>
  </si>
  <si>
    <t>AELG899</t>
  </si>
  <si>
    <t>Feed General</t>
  </si>
  <si>
    <t>AELR354</t>
  </si>
  <si>
    <t xml:space="preserve">Feed </t>
  </si>
  <si>
    <t>General</t>
  </si>
  <si>
    <t>SECIND</t>
  </si>
  <si>
    <t>Board Chemical Logistics</t>
  </si>
  <si>
    <t>AEMS266</t>
  </si>
  <si>
    <t>Personenauto IND</t>
  </si>
  <si>
    <t>AABN268</t>
  </si>
  <si>
    <t>IND</t>
  </si>
  <si>
    <t>AAJQ633</t>
  </si>
  <si>
    <t>IJX472</t>
  </si>
  <si>
    <t>Personenauto SECIND</t>
  </si>
  <si>
    <t>Maintenance</t>
  </si>
  <si>
    <t>KSK035</t>
  </si>
  <si>
    <t>LZS676</t>
  </si>
  <si>
    <t>MWX530</t>
  </si>
  <si>
    <t>DBL General</t>
  </si>
  <si>
    <t>NFD338</t>
  </si>
  <si>
    <t>NWH002</t>
  </si>
  <si>
    <t>NWH004</t>
  </si>
  <si>
    <t>NWH007</t>
  </si>
  <si>
    <t>NWH008</t>
  </si>
  <si>
    <t>NWH009</t>
  </si>
  <si>
    <t>NWH012</t>
  </si>
  <si>
    <t>NWH013</t>
  </si>
  <si>
    <t>NWH014</t>
  </si>
  <si>
    <t>NWH015</t>
  </si>
  <si>
    <t>NWH016</t>
  </si>
  <si>
    <t>NWH017</t>
  </si>
  <si>
    <t>NWH018</t>
  </si>
  <si>
    <t>NWH019</t>
  </si>
  <si>
    <t>NWH021</t>
  </si>
  <si>
    <t>NWH022</t>
  </si>
  <si>
    <t>NWH023</t>
  </si>
  <si>
    <t>NWH024</t>
  </si>
  <si>
    <t>NWH025</t>
  </si>
  <si>
    <t>NWH027</t>
  </si>
  <si>
    <t>NWH028</t>
  </si>
  <si>
    <t>NWH029</t>
  </si>
  <si>
    <t>NWH030</t>
  </si>
  <si>
    <t>NWH031</t>
  </si>
  <si>
    <t>NWH032</t>
  </si>
  <si>
    <t>NWH034</t>
  </si>
  <si>
    <t>NWH036</t>
  </si>
  <si>
    <t>NWH037</t>
  </si>
  <si>
    <t>NWH038</t>
  </si>
  <si>
    <t>NWH039</t>
  </si>
  <si>
    <t>NWH041</t>
  </si>
  <si>
    <t>NWH042</t>
  </si>
  <si>
    <t>NWH043</t>
  </si>
  <si>
    <t>NWH044</t>
  </si>
  <si>
    <t>NWH046</t>
  </si>
  <si>
    <t>NWH047</t>
  </si>
  <si>
    <t>NWH048</t>
  </si>
  <si>
    <t>NWH049</t>
  </si>
  <si>
    <t>NWH052</t>
  </si>
  <si>
    <t>NWH053</t>
  </si>
  <si>
    <t>NWH054</t>
  </si>
  <si>
    <t>NWH055</t>
  </si>
  <si>
    <t>NWH056</t>
  </si>
  <si>
    <t>NWH057</t>
  </si>
  <si>
    <t>NWH058</t>
  </si>
  <si>
    <t>NWH059</t>
  </si>
  <si>
    <t>NWH060</t>
  </si>
  <si>
    <t>NWH061</t>
  </si>
  <si>
    <t>NWH062</t>
  </si>
  <si>
    <t>NWH063</t>
  </si>
  <si>
    <t>NWH066</t>
  </si>
  <si>
    <t>NWH067</t>
  </si>
  <si>
    <t>OPEN1</t>
  </si>
  <si>
    <t>Personenauto</t>
  </si>
  <si>
    <t>OPEN2</t>
  </si>
  <si>
    <t>OPEN3</t>
  </si>
  <si>
    <t>PLV437</t>
  </si>
  <si>
    <t>PVM702</t>
  </si>
  <si>
    <t>SKN979</t>
  </si>
  <si>
    <t>SNG786</t>
  </si>
  <si>
    <t>SUS690</t>
  </si>
  <si>
    <t>THF243</t>
  </si>
  <si>
    <t>WAB796</t>
  </si>
  <si>
    <t>WAH081</t>
  </si>
  <si>
    <t>WAH621</t>
  </si>
  <si>
    <t>WAK853</t>
  </si>
  <si>
    <t>WAK854</t>
  </si>
  <si>
    <t>WBC017</t>
  </si>
  <si>
    <t>WBC018</t>
  </si>
  <si>
    <t>WBC046</t>
  </si>
  <si>
    <t>WBE439</t>
  </si>
  <si>
    <t>WBX938</t>
  </si>
  <si>
    <t>WBZ896</t>
  </si>
  <si>
    <t>WCK025</t>
  </si>
  <si>
    <t>WDR804</t>
  </si>
  <si>
    <t>WDV394</t>
  </si>
  <si>
    <t>WDV395</t>
  </si>
  <si>
    <t>WDX104</t>
  </si>
  <si>
    <t>WEA308</t>
  </si>
  <si>
    <t>WEA371</t>
  </si>
  <si>
    <t>WEA373</t>
  </si>
  <si>
    <t>WEA409</t>
  </si>
  <si>
    <t>WEA410</t>
  </si>
  <si>
    <t>WEK200</t>
  </si>
  <si>
    <t>WEK287</t>
  </si>
  <si>
    <t>WEM645</t>
  </si>
  <si>
    <t>WEP247</t>
  </si>
  <si>
    <t>WEW343</t>
  </si>
  <si>
    <t>WFL939</t>
  </si>
  <si>
    <t>WFR543</t>
  </si>
  <si>
    <t>WFT940</t>
  </si>
  <si>
    <t>WGK863</t>
  </si>
  <si>
    <t>WNH001</t>
  </si>
  <si>
    <t>WNH002</t>
  </si>
  <si>
    <t>WNH003</t>
  </si>
  <si>
    <t>WNH015</t>
  </si>
  <si>
    <t>WNH016</t>
  </si>
  <si>
    <t>WNH017</t>
  </si>
  <si>
    <t>WNH018</t>
  </si>
  <si>
    <t>WNH019</t>
  </si>
  <si>
    <t>WNH021</t>
  </si>
  <si>
    <t>XXY241</t>
  </si>
  <si>
    <t>XZD219</t>
  </si>
  <si>
    <t>XZD220</t>
  </si>
  <si>
    <t>XZD224</t>
  </si>
  <si>
    <t>XZJ619</t>
  </si>
  <si>
    <t>XZJ626</t>
  </si>
  <si>
    <t>XZZ727</t>
  </si>
  <si>
    <t>Adblue</t>
  </si>
  <si>
    <t>szöveg</t>
  </si>
  <si>
    <t>dátum</t>
  </si>
  <si>
    <t>szám</t>
  </si>
  <si>
    <t>C(1)</t>
  </si>
  <si>
    <t>C(10)</t>
  </si>
  <si>
    <t>D</t>
  </si>
  <si>
    <t>C(25)</t>
  </si>
  <si>
    <t>C(120)</t>
  </si>
  <si>
    <t>C(30)</t>
  </si>
  <si>
    <t>C(40)</t>
  </si>
  <si>
    <t>C(13)</t>
  </si>
  <si>
    <t>C(20)</t>
  </si>
  <si>
    <t>C(24)</t>
  </si>
  <si>
    <t>C(50)</t>
  </si>
  <si>
    <t>C(2)</t>
  </si>
  <si>
    <t>N(3)</t>
  </si>
  <si>
    <t>C(80)</t>
  </si>
  <si>
    <t>N(15,2)</t>
  </si>
  <si>
    <t>C(3)</t>
  </si>
  <si>
    <t>N(10,6)</t>
  </si>
  <si>
    <t>N(8)</t>
  </si>
  <si>
    <t>kötelező</t>
  </si>
  <si>
    <t>kötelező (ha kontírozott)</t>
  </si>
  <si>
    <t>kötelező (ha forint számla)</t>
  </si>
  <si>
    <t>kötelező (ha forint számla és van)</t>
  </si>
  <si>
    <t>kötelező (ha deviza számla)</t>
  </si>
  <si>
    <t>kötelező (ha deviza számla és van)</t>
  </si>
  <si>
    <t>Forgalmi napló típusa</t>
  </si>
  <si>
    <t>Főkönyvi szám</t>
  </si>
  <si>
    <t>Könyvelési időszak</t>
  </si>
  <si>
    <t>Áfa időszak</t>
  </si>
  <si>
    <t>Teljesítés ideje</t>
  </si>
  <si>
    <t>Számla kelte</t>
  </si>
  <si>
    <t>Fizetési határidő</t>
  </si>
  <si>
    <t>Nyilv. Szám</t>
  </si>
  <si>
    <t>Számla szám</t>
  </si>
  <si>
    <t>Partner kód</t>
  </si>
  <si>
    <t>Partner neve</t>
  </si>
  <si>
    <t>Irányító szám</t>
  </si>
  <si>
    <t>Város</t>
  </si>
  <si>
    <t>Utca</t>
  </si>
  <si>
    <t>Adószám</t>
  </si>
  <si>
    <t>EU adószám</t>
  </si>
  <si>
    <t>Bankszámla szám (belföldi)</t>
  </si>
  <si>
    <t>Bankszámla szám (külföldi)</t>
  </si>
  <si>
    <t>Jogcím</t>
  </si>
  <si>
    <t>Fkvi. szla. (ellenszámla)</t>
  </si>
  <si>
    <t>Áfa főkönyvi szám</t>
  </si>
  <si>
    <t>Áfa főkönyvi szám (fizetendő - EU,FA)</t>
  </si>
  <si>
    <t>ÁFA kulcs</t>
  </si>
  <si>
    <t>ÁFA kulcs (EU,FA)</t>
  </si>
  <si>
    <t>Vissza nem igényelhető áfa%</t>
  </si>
  <si>
    <t>Gyűjtő1 kód</t>
  </si>
  <si>
    <t>Gyűjtő1 név</t>
  </si>
  <si>
    <t>Gyűjtő2 kód</t>
  </si>
  <si>
    <t>Gyűjtő2 név</t>
  </si>
  <si>
    <t>Gyűjtő3 kód</t>
  </si>
  <si>
    <t>Gyűjtő3 név</t>
  </si>
  <si>
    <t>Gyűjtő4 kód</t>
  </si>
  <si>
    <t>Gyűjtő4 név</t>
  </si>
  <si>
    <t>Nettó összeg</t>
  </si>
  <si>
    <t>Áfa összeg</t>
  </si>
  <si>
    <t>Deviza nettó összeg</t>
  </si>
  <si>
    <t xml:space="preserve">Deviza áfa összeg </t>
  </si>
  <si>
    <t>Devizanem</t>
  </si>
  <si>
    <t>Árfolyam</t>
  </si>
  <si>
    <t>Tétel megjegyzés</t>
  </si>
  <si>
    <t>Készpénzes számla</t>
  </si>
  <si>
    <t>Sztornózott számla száma</t>
  </si>
  <si>
    <t>Fejléc megjegyzés</t>
  </si>
  <si>
    <t>Fordított áfa VTSZ</t>
  </si>
  <si>
    <t>Fordított áfa mennyiség (kg)</t>
  </si>
  <si>
    <t>Elhatárolás időszaktól</t>
  </si>
  <si>
    <t>Elhatárolás időszakig</t>
  </si>
  <si>
    <t>Elhatárolás összeg</t>
  </si>
  <si>
    <t>Elhatárolás főkönyvi szám</t>
  </si>
  <si>
    <t>Elhatárolás jogcím</t>
  </si>
  <si>
    <t>65M lap dátum (eredeti teljesítés)</t>
  </si>
  <si>
    <t>S</t>
  </si>
  <si>
    <t>(Alle)</t>
  </si>
  <si>
    <t>LEVERDATUM</t>
  </si>
  <si>
    <t>LEVERTIJD</t>
  </si>
  <si>
    <t>Totaal</t>
  </si>
  <si>
    <t>liters</t>
  </si>
  <si>
    <t>price</t>
  </si>
  <si>
    <t>amount</t>
  </si>
  <si>
    <t>AIBC025</t>
  </si>
  <si>
    <t>Eindtotaal</t>
  </si>
  <si>
    <t>AIBC024</t>
  </si>
  <si>
    <t>AICV179</t>
  </si>
  <si>
    <t>AICV637</t>
  </si>
  <si>
    <t>AICV638</t>
  </si>
  <si>
    <t>AICC281</t>
  </si>
  <si>
    <t>AICC284</t>
  </si>
  <si>
    <t>AICC287</t>
  </si>
  <si>
    <t>AICC282</t>
  </si>
  <si>
    <t>AICC283</t>
  </si>
  <si>
    <t>kenteken</t>
  </si>
  <si>
    <t>AICC286</t>
  </si>
  <si>
    <t>AICC285</t>
  </si>
  <si>
    <t>AIHJ604</t>
  </si>
  <si>
    <t>AILJ803</t>
  </si>
  <si>
    <t>AILJ802</t>
  </si>
  <si>
    <t>Volvo Hungaria Kft</t>
  </si>
  <si>
    <t>HUF</t>
  </si>
  <si>
    <t>Kamion karbantartás / Truck repair external</t>
  </si>
  <si>
    <t>AICX024</t>
  </si>
  <si>
    <t>AICX585</t>
  </si>
  <si>
    <t>AIIE465</t>
  </si>
  <si>
    <t>AIIE910</t>
  </si>
  <si>
    <t>AILJ801</t>
  </si>
  <si>
    <t>AIEB954</t>
  </si>
  <si>
    <t>AIKG455</t>
  </si>
  <si>
    <t>AIKG457</t>
  </si>
  <si>
    <t>invoice_number</t>
  </si>
  <si>
    <t>invoice_date</t>
  </si>
  <si>
    <t>payment_due</t>
  </si>
  <si>
    <t>performance_date</t>
  </si>
  <si>
    <t>period_start</t>
  </si>
  <si>
    <t>period_end</t>
  </si>
  <si>
    <t>license_plate</t>
  </si>
  <si>
    <t>net</t>
  </si>
  <si>
    <t>vat</t>
  </si>
  <si>
    <t>AILJ804</t>
  </si>
  <si>
    <t>AOAF758</t>
  </si>
  <si>
    <t>AOAF773</t>
  </si>
  <si>
    <t>AOCA651</t>
  </si>
  <si>
    <t>AOCA652</t>
  </si>
  <si>
    <t>AOCA653</t>
  </si>
  <si>
    <t>13100007-02515010-00923484</t>
  </si>
  <si>
    <t>AOCA654</t>
  </si>
  <si>
    <t>AOCA655</t>
  </si>
  <si>
    <t>AOEK685</t>
  </si>
  <si>
    <t>AOEK686</t>
  </si>
  <si>
    <t>AOEK687</t>
  </si>
  <si>
    <t>AOGO618</t>
  </si>
  <si>
    <t>AOGO619</t>
  </si>
  <si>
    <t>AOGO620</t>
  </si>
  <si>
    <t>AOGO621</t>
  </si>
  <si>
    <t>AOJF608</t>
  </si>
  <si>
    <t>Feed</t>
  </si>
  <si>
    <t>Cargill</t>
  </si>
  <si>
    <t>Network</t>
  </si>
  <si>
    <t>Agrifirm</t>
  </si>
  <si>
    <t>Road</t>
  </si>
  <si>
    <t>AOGO622</t>
  </si>
  <si>
    <t>AOJF482</t>
  </si>
  <si>
    <t>x</t>
  </si>
  <si>
    <t>202603 havidíj</t>
  </si>
  <si>
    <t>70260002222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</si>
</sst>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Ft&quot;_-;\-* #,##0.00\ &quot;Ft&quot;_-;_-* &quot;-&quot;??\ &quot;Ft&quot;_-;_-@_-"/>
    <numFmt numFmtId="43" formatCode="_-* #,##0.00_-;\-* #,##0.00_-;_-* &quot;-&quot;??_-;_-@_-"/>
    <numFmt numFmtId="164" formatCode="#,##0.000000"/>
    <numFmt numFmtId="165" formatCode="_-* #,##0.00\ _F_t_-;\-* #,##0.00\ _F_t_-;_-* &quot;-&quot;??\ _F_t_-;_-@_-"/>
    <numFmt numFmtId="166" formatCode="yyyy\-mm\-dd\ hh:mm:ss"/>
  </numFmts>
  <fonts count="12">
    <font>
      <sz val="11"/>
      <color theme="1"/>
      <name val="Aptos Narrow"/>
      <family val="2"/>
      <charset val="238"/>
      <scheme val="minor"/>
    </font>
    <font>
      <sz val="10"/>
      <name val="Arial"/>
      <family val="2"/>
      <charset val="238"/>
    </font>
    <font>
      <b/>
      <sz val="8"/>
      <name val="Arial"/>
      <family val="2"/>
      <charset val="238"/>
    </font>
    <font>
      <sz val="8"/>
      <color indexed="10"/>
      <name val="Arial"/>
      <family val="2"/>
      <charset val="238"/>
    </font>
    <font>
      <sz val="11"/>
      <color theme="1"/>
      <name val="Aptos Narrow"/>
      <family val="2"/>
      <charset val="238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2"/>
      <name val="Arial"/>
      <family val="2"/>
      <charset val="238"/>
    </font>
    <font>
      <sz val="8"/>
      <name val="Aptos Narrow"/>
      <family val="2"/>
      <charset val="238"/>
      <scheme val="minor"/>
    </font>
    <font>
      <sz val="8"/>
      <color theme="1"/>
      <name val="Tahoma"/>
      <family val="2"/>
      <charset val="238"/>
    </font>
    <font>
      <b/>
      <sz val="8"/>
      <color theme="0"/>
      <name val="Tahoma"/>
      <family val="2"/>
      <charset val="238"/>
    </font>
    <font>
      <b/>
      <sz val="8"/>
      <color rgb="FF000000"/>
      <name val="Tahoma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</borders>
  <cellStyleXfs count="6">
    <xf numFmtId="0" fontId="0" fillId="0" borderId="0"/>
    <xf numFmtId="0" fontId="1" fillId="0" borderId="0"/>
    <xf numFmtId="44" fontId="4" fillId="0" borderId="0" applyFont="0" applyFill="0" applyBorder="0" applyAlignment="0" applyProtection="0"/>
    <xf numFmtId="0" fontId="5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14" fontId="2" fillId="4" borderId="1" xfId="1" applyNumberFormat="1" applyFont="1" applyFill="1" applyBorder="1" applyAlignment="1">
      <alignment horizontal="center" vertical="center" wrapText="1"/>
    </xf>
    <xf numFmtId="14" fontId="3" fillId="5" borderId="1" xfId="1" applyNumberFormat="1" applyFont="1" applyFill="1" applyBorder="1" applyAlignment="1">
      <alignment horizontal="center"/>
    </xf>
    <xf numFmtId="4" fontId="3" fillId="5" borderId="1" xfId="1" applyNumberFormat="1" applyFont="1" applyFill="1" applyBorder="1" applyAlignment="1">
      <alignment horizontal="center"/>
    </xf>
    <xf numFmtId="164" fontId="3" fillId="5" borderId="1" xfId="1" applyNumberFormat="1" applyFont="1" applyFill="1" applyBorder="1" applyAlignment="1">
      <alignment horizontal="center"/>
    </xf>
    <xf numFmtId="49" fontId="3" fillId="5" borderId="1" xfId="1" applyNumberFormat="1" applyFont="1" applyFill="1" applyBorder="1" applyAlignment="1">
      <alignment horizontal="center"/>
    </xf>
    <xf numFmtId="49" fontId="2" fillId="4" borderId="1" xfId="1" applyNumberFormat="1" applyFont="1" applyFill="1" applyBorder="1" applyAlignment="1">
      <alignment horizontal="center" vertical="center" wrapText="1"/>
    </xf>
    <xf numFmtId="1" fontId="3" fillId="5" borderId="1" xfId="1" applyNumberFormat="1" applyFont="1" applyFill="1" applyBorder="1" applyAlignment="1">
      <alignment horizontal="center"/>
    </xf>
    <xf numFmtId="49" fontId="3" fillId="5" borderId="1" xfId="1" applyNumberFormat="1" applyFont="1" applyFill="1" applyBorder="1" applyAlignment="1">
      <alignment horizontal="center" vertical="center" wrapText="1"/>
    </xf>
    <xf numFmtId="1" fontId="3" fillId="5" borderId="1" xfId="1" applyNumberFormat="1" applyFont="1" applyFill="1" applyBorder="1" applyAlignment="1">
      <alignment horizontal="center" vertical="center" wrapText="1"/>
    </xf>
    <xf numFmtId="4" fontId="3" fillId="5" borderId="1" xfId="1" applyNumberFormat="1" applyFont="1" applyFill="1" applyBorder="1" applyAlignment="1">
      <alignment horizontal="center" vertical="center" wrapText="1"/>
    </xf>
    <xf numFmtId="164" fontId="3" fillId="5" borderId="1" xfId="1" applyNumberFormat="1" applyFont="1" applyFill="1" applyBorder="1" applyAlignment="1">
      <alignment horizontal="center" vertical="center" wrapText="1"/>
    </xf>
    <xf numFmtId="3" fontId="3" fillId="5" borderId="1" xfId="1" applyNumberFormat="1" applyFont="1" applyFill="1" applyBorder="1" applyAlignment="1">
      <alignment horizontal="center"/>
    </xf>
    <xf numFmtId="3" fontId="3" fillId="5" borderId="1" xfId="1" applyNumberFormat="1" applyFont="1" applyFill="1" applyBorder="1" applyAlignment="1">
      <alignment horizontal="center" vertical="center" wrapText="1"/>
    </xf>
    <xf numFmtId="14" fontId="3" fillId="5" borderId="1" xfId="1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5" fillId="0" borderId="0" xfId="0" applyFont="1"/>
    <xf numFmtId="44" fontId="5" fillId="0" borderId="0" xfId="2" applyFont="1" applyFill="1" applyBorder="1"/>
    <xf numFmtId="4" fontId="0" fillId="0" borderId="0" xfId="0" applyNumberFormat="1"/>
    <xf numFmtId="44" fontId="0" fillId="0" borderId="0" xfId="2" applyFont="1"/>
    <xf numFmtId="0" fontId="3" fillId="5" borderId="1" xfId="1" applyFont="1" applyFill="1" applyBorder="1" applyAlignment="1">
      <alignment horizontal="center"/>
    </xf>
    <xf numFmtId="0" fontId="3" fillId="5" borderId="1" xfId="1" applyFont="1" applyFill="1" applyBorder="1" applyAlignment="1">
      <alignment horizontal="center" vertical="center" wrapText="1"/>
    </xf>
    <xf numFmtId="2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4" fontId="0" fillId="0" borderId="3" xfId="0" applyNumberFormat="1" applyBorder="1"/>
    <xf numFmtId="4" fontId="6" fillId="3" borderId="7" xfId="0" applyNumberFormat="1" applyFont="1" applyFill="1" applyBorder="1"/>
    <xf numFmtId="0" fontId="7" fillId="3" borderId="5" xfId="0" applyFont="1" applyFill="1" applyBorder="1"/>
    <xf numFmtId="4" fontId="7" fillId="3" borderId="7" xfId="0" applyNumberFormat="1" applyFont="1" applyFill="1" applyBorder="1"/>
    <xf numFmtId="0" fontId="5" fillId="0" borderId="8" xfId="3" applyBorder="1"/>
    <xf numFmtId="0" fontId="5" fillId="0" borderId="8" xfId="3" applyBorder="1" applyAlignment="1">
      <alignment horizontal="left"/>
    </xf>
    <xf numFmtId="0" fontId="5" fillId="0" borderId="0" xfId="3"/>
    <xf numFmtId="0" fontId="0" fillId="0" borderId="8" xfId="0" applyBorder="1"/>
    <xf numFmtId="0" fontId="5" fillId="0" borderId="9" xfId="3" applyBorder="1"/>
    <xf numFmtId="0" fontId="5" fillId="0" borderId="10" xfId="3" applyBorder="1"/>
    <xf numFmtId="0" fontId="5" fillId="0" borderId="11" xfId="3" applyBorder="1"/>
    <xf numFmtId="44" fontId="6" fillId="3" borderId="7" xfId="2" applyFont="1" applyFill="1" applyBorder="1"/>
    <xf numFmtId="0" fontId="6" fillId="0" borderId="6" xfId="0" applyFont="1" applyBorder="1"/>
    <xf numFmtId="166" fontId="0" fillId="0" borderId="0" xfId="0" applyNumberFormat="1"/>
    <xf numFmtId="0" fontId="10" fillId="6" borderId="0" xfId="0" applyFont="1" applyFill="1"/>
    <xf numFmtId="0" fontId="9" fillId="2" borderId="0" xfId="0" applyFont="1" applyFill="1" applyAlignment="1">
      <alignment horizontal="right"/>
    </xf>
    <xf numFmtId="0" fontId="9" fillId="7" borderId="0" xfId="0" applyFont="1" applyFill="1" applyAlignment="1">
      <alignment horizontal="right"/>
    </xf>
    <xf numFmtId="0" fontId="9" fillId="7" borderId="0" xfId="0" applyFont="1" applyFill="1"/>
    <xf numFmtId="0" fontId="0" fillId="0" borderId="0" xfId="0" applyAlignment="1">
      <alignment horizontal="right"/>
    </xf>
    <xf numFmtId="165" fontId="0" fillId="0" borderId="0" xfId="0" applyNumberFormat="1"/>
    <xf numFmtId="0" fontId="9" fillId="0" borderId="0" xfId="0" applyFont="1"/>
    <xf numFmtId="43" fontId="0" fillId="0" borderId="0" xfId="5" applyFont="1"/>
    <xf numFmtId="0" fontId="9" fillId="8" borderId="0" xfId="0" applyFont="1" applyFill="1"/>
  </cellXfs>
  <cellStyles count="6">
    <cellStyle name="Ezres" xfId="5" builtinId="3"/>
    <cellStyle name="Ezres 2" xfId="4" xr:uid="{B8EC3E83-4104-4132-BAA5-7837DF074727}"/>
    <cellStyle name="Normál" xfId="0" builtinId="0"/>
    <cellStyle name="Normál 2" xfId="1" xr:uid="{A2E8436C-41C7-4CD4-A4AD-733B3CFAC173}"/>
    <cellStyle name="Pénznem" xfId="2" builtinId="4"/>
    <cellStyle name="Standaard 63" xfId="3" xr:uid="{21EA98B8-E296-4F09-AAA4-C977CFE819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167640</xdr:colOff>
          <xdr:row>1</xdr:row>
          <xdr:rowOff>76200</xdr:rowOff>
        </xdr:from>
        <xdr:to>
          <xdr:col>9</xdr:col>
          <xdr:colOff>137160</xdr:colOff>
          <xdr:row>4</xdr:row>
          <xdr:rowOff>121920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160020</xdr:colOff>
          <xdr:row>6</xdr:row>
          <xdr:rowOff>91440</xdr:rowOff>
        </xdr:from>
        <xdr:to>
          <xdr:col>9</xdr:col>
          <xdr:colOff>129540</xdr:colOff>
          <xdr:row>9</xdr:row>
          <xdr:rowOff>121920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9526</xdr:rowOff>
    </xdr:from>
    <xdr:to>
      <xdr:col>5</xdr:col>
      <xdr:colOff>341585</xdr:colOff>
      <xdr:row>4</xdr:row>
      <xdr:rowOff>167640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82129FB7-E536-4FAC-8BAD-A4B28BD83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6"/>
          <a:ext cx="4978355" cy="883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0</xdr:colOff>
      <xdr:row>0</xdr:row>
      <xdr:rowOff>9526</xdr:rowOff>
    </xdr:from>
    <xdr:to>
      <xdr:col>22</xdr:col>
      <xdr:colOff>139655</xdr:colOff>
      <xdr:row>4</xdr:row>
      <xdr:rowOff>167640</xdr:rowOff>
    </xdr:to>
    <xdr:pic>
      <xdr:nvPicPr>
        <xdr:cNvPr id="3" name="Afbeelding 1">
          <a:extLst>
            <a:ext uri="{FF2B5EF4-FFF2-40B4-BE49-F238E27FC236}">
              <a16:creationId xmlns:a16="http://schemas.microsoft.com/office/drawing/2014/main" id="{CCA6C463-814C-48A2-B3FB-F18202D25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76660" y="9526"/>
          <a:ext cx="4915490" cy="883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0</xdr:colOff>
      <xdr:row>0</xdr:row>
      <xdr:rowOff>9526</xdr:rowOff>
    </xdr:from>
    <xdr:to>
      <xdr:col>23</xdr:col>
      <xdr:colOff>406355</xdr:colOff>
      <xdr:row>4</xdr:row>
      <xdr:rowOff>167640</xdr:rowOff>
    </xdr:to>
    <xdr:pic>
      <xdr:nvPicPr>
        <xdr:cNvPr id="4" name="Afbeelding 1">
          <a:extLst>
            <a:ext uri="{FF2B5EF4-FFF2-40B4-BE49-F238E27FC236}">
              <a16:creationId xmlns:a16="http://schemas.microsoft.com/office/drawing/2014/main" id="{72E16117-7189-476C-9DC9-784796874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76660" y="9526"/>
          <a:ext cx="5791790" cy="883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9526</xdr:rowOff>
    </xdr:from>
    <xdr:to>
      <xdr:col>5</xdr:col>
      <xdr:colOff>341585</xdr:colOff>
      <xdr:row>4</xdr:row>
      <xdr:rowOff>154305</xdr:rowOff>
    </xdr:to>
    <xdr:pic>
      <xdr:nvPicPr>
        <xdr:cNvPr id="5" name="Afbeelding 1">
          <a:extLst>
            <a:ext uri="{FF2B5EF4-FFF2-40B4-BE49-F238E27FC236}">
              <a16:creationId xmlns:a16="http://schemas.microsoft.com/office/drawing/2014/main" id="{4D185123-6712-4E3B-AEDB-03DAFAB5D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1"/>
          <a:ext cx="4974545" cy="876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0</xdr:colOff>
      <xdr:row>0</xdr:row>
      <xdr:rowOff>9526</xdr:rowOff>
    </xdr:from>
    <xdr:to>
      <xdr:col>22</xdr:col>
      <xdr:colOff>116795</xdr:colOff>
      <xdr:row>4</xdr:row>
      <xdr:rowOff>154305</xdr:rowOff>
    </xdr:to>
    <xdr:pic>
      <xdr:nvPicPr>
        <xdr:cNvPr id="6" name="Afbeelding 1">
          <a:extLst>
            <a:ext uri="{FF2B5EF4-FFF2-40B4-BE49-F238E27FC236}">
              <a16:creationId xmlns:a16="http://schemas.microsoft.com/office/drawing/2014/main" id="{DA32CD4A-A235-4A57-BE64-076664C63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2375" y="11431"/>
          <a:ext cx="4905965" cy="876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0</xdr:colOff>
      <xdr:row>0</xdr:row>
      <xdr:rowOff>9526</xdr:rowOff>
    </xdr:from>
    <xdr:to>
      <xdr:col>23</xdr:col>
      <xdr:colOff>383495</xdr:colOff>
      <xdr:row>4</xdr:row>
      <xdr:rowOff>154305</xdr:rowOff>
    </xdr:to>
    <xdr:pic>
      <xdr:nvPicPr>
        <xdr:cNvPr id="7" name="Afbeelding 1">
          <a:extLst>
            <a:ext uri="{FF2B5EF4-FFF2-40B4-BE49-F238E27FC236}">
              <a16:creationId xmlns:a16="http://schemas.microsoft.com/office/drawing/2014/main" id="{C32409E7-D926-4758-B9DD-2833E28C7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2375" y="11431"/>
          <a:ext cx="5782265" cy="876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9526</xdr:rowOff>
    </xdr:from>
    <xdr:to>
      <xdr:col>7</xdr:col>
      <xdr:colOff>112985</xdr:colOff>
      <xdr:row>5</xdr:row>
      <xdr:rowOff>59055</xdr:rowOff>
    </xdr:to>
    <xdr:pic>
      <xdr:nvPicPr>
        <xdr:cNvPr id="8" name="Afbeelding 1">
          <a:extLst>
            <a:ext uri="{FF2B5EF4-FFF2-40B4-BE49-F238E27FC236}">
              <a16:creationId xmlns:a16="http://schemas.microsoft.com/office/drawing/2014/main" id="{0D8549E3-D351-4CFA-A86E-269D30AF0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1"/>
          <a:ext cx="5012645" cy="9601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0</xdr:colOff>
      <xdr:row>0</xdr:row>
      <xdr:rowOff>9526</xdr:rowOff>
    </xdr:from>
    <xdr:to>
      <xdr:col>19</xdr:col>
      <xdr:colOff>240620</xdr:colOff>
      <xdr:row>5</xdr:row>
      <xdr:rowOff>59055</xdr:rowOff>
    </xdr:to>
    <xdr:pic>
      <xdr:nvPicPr>
        <xdr:cNvPr id="9" name="Afbeelding 1">
          <a:extLst>
            <a:ext uri="{FF2B5EF4-FFF2-40B4-BE49-F238E27FC236}">
              <a16:creationId xmlns:a16="http://schemas.microsoft.com/office/drawing/2014/main" id="{7C70E2AD-2FA5-4A14-B28D-12FD4BC26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1"/>
          <a:ext cx="4999310" cy="9601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9526</xdr:rowOff>
    </xdr:from>
    <xdr:to>
      <xdr:col>4</xdr:col>
      <xdr:colOff>34880</xdr:colOff>
      <xdr:row>4</xdr:row>
      <xdr:rowOff>167640</xdr:rowOff>
    </xdr:to>
    <xdr:pic>
      <xdr:nvPicPr>
        <xdr:cNvPr id="10" name="Afbeelding 1">
          <a:extLst>
            <a:ext uri="{FF2B5EF4-FFF2-40B4-BE49-F238E27FC236}">
              <a16:creationId xmlns:a16="http://schemas.microsoft.com/office/drawing/2014/main" id="{44C68523-13AD-4DCC-98F0-BF332D0FC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6"/>
          <a:ext cx="4978355" cy="883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E3058-45FC-4C35-8D3C-B2959A4B7428}">
  <sheetPr codeName="shControl"/>
  <dimension ref="A2:B11"/>
  <sheetViews>
    <sheetView workbookViewId="0">
      <selection activeCell="B12" sqref="B12"/>
    </sheetView>
  </sheetViews>
  <sheetFormatPr defaultRowHeight="13.8"/>
  <cols>
    <col min="1" max="1" width="25.8984375" customWidth="1"/>
    <col min="2" max="2" width="30.69921875" bestFit="1" customWidth="1"/>
  </cols>
  <sheetData>
    <row r="2" spans="1:2">
      <c r="A2" s="41" t="s">
        <v>222</v>
      </c>
      <c r="B2" s="43" t="s">
        <v>273</v>
      </c>
    </row>
    <row r="3" spans="1:2">
      <c r="A3" s="41" t="s">
        <v>223</v>
      </c>
      <c r="B3" s="44">
        <v>4541</v>
      </c>
    </row>
    <row r="4" spans="1:2">
      <c r="A4" s="41" t="s">
        <v>232</v>
      </c>
      <c r="B4" s="43" t="s">
        <v>298</v>
      </c>
    </row>
    <row r="5" spans="1:2">
      <c r="A5" s="41" t="s">
        <v>238</v>
      </c>
      <c r="B5" s="43" t="s">
        <v>324</v>
      </c>
    </row>
    <row r="6" spans="1:2">
      <c r="A6" s="41" t="s">
        <v>240</v>
      </c>
      <c r="B6" s="43" t="s">
        <v>300</v>
      </c>
    </row>
    <row r="7" spans="1:2">
      <c r="A7" s="41" t="s">
        <v>241</v>
      </c>
      <c r="B7" s="44">
        <v>52361</v>
      </c>
    </row>
    <row r="8" spans="1:2">
      <c r="A8" s="41" t="s">
        <v>242</v>
      </c>
      <c r="B8" s="44">
        <v>46601</v>
      </c>
    </row>
    <row r="9" spans="1:2">
      <c r="A9" s="41" t="s">
        <v>244</v>
      </c>
      <c r="B9" s="44">
        <v>27</v>
      </c>
    </row>
    <row r="10" spans="1:2">
      <c r="A10" s="41" t="s">
        <v>259</v>
      </c>
      <c r="B10" s="43" t="s">
        <v>299</v>
      </c>
    </row>
    <row r="11" spans="1:2">
      <c r="A11" s="41" t="s">
        <v>261</v>
      </c>
      <c r="B11" s="42" t="s">
        <v>343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ImportData">
                <anchor moveWithCells="1">
                  <from>
                    <xdr:col>6</xdr:col>
                    <xdr:colOff>167640</xdr:colOff>
                    <xdr:row>1</xdr:row>
                    <xdr:rowOff>76200</xdr:rowOff>
                  </from>
                  <to>
                    <xdr:col>9</xdr:col>
                    <xdr:colOff>137160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ExportData">
                <anchor moveWithCells="1">
                  <from>
                    <xdr:col>6</xdr:col>
                    <xdr:colOff>160020</xdr:colOff>
                    <xdr:row>6</xdr:row>
                    <xdr:rowOff>91440</xdr:rowOff>
                  </from>
                  <to>
                    <xdr:col>9</xdr:col>
                    <xdr:colOff>129540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D479-4AEE-4B85-A727-F151826B7B45}">
  <sheetPr codeName="shRawData"/>
  <dimension ref="A1:I38"/>
  <sheetViews>
    <sheetView workbookViewId="0">
      <selection activeCell="A3" sqref="A3"/>
    </sheetView>
  </sheetViews>
  <sheetFormatPr defaultRowHeight="13.8"/>
  <cols>
    <col min="1" max="1" width="12" bestFit="1" customWidth="1"/>
    <col min="2" max="6" width="18" bestFit="1" customWidth="1"/>
  </cols>
  <sheetData>
    <row r="1" spans="1:9">
      <c r="A1" t="s">
        <v>309</v>
      </c>
      <c r="B1" t="s">
        <v>310</v>
      </c>
      <c r="C1" t="s">
        <v>311</v>
      </c>
      <c r="D1" t="s">
        <v>312</v>
      </c>
      <c r="E1" t="s">
        <v>313</v>
      </c>
      <c r="F1" t="s">
        <v>314</v>
      </c>
      <c r="G1" t="s">
        <v>315</v>
      </c>
      <c r="H1" t="s">
        <v>316</v>
      </c>
      <c r="I1" t="s">
        <v>317</v>
      </c>
    </row>
    <row r="2" spans="1:9">
      <c r="A2" t="s">
        <v>344</v>
      </c>
      <c r="B2" s="40">
        <v>46087</v>
      </c>
      <c r="C2" s="40">
        <v>46102</v>
      </c>
      <c r="D2" s="40">
        <v>46087</v>
      </c>
      <c r="E2" s="40">
        <v>46082</v>
      </c>
      <c r="F2" s="40">
        <v>46112</v>
      </c>
      <c r="G2" t="s">
        <v>91</v>
      </c>
      <c r="H2">
        <v>75080</v>
      </c>
      <c r="I2">
        <v>20272</v>
      </c>
    </row>
    <row r="3" spans="1:9">
      <c r="A3" t="s">
        <v>344</v>
      </c>
      <c r="B3" s="40">
        <v>46087</v>
      </c>
      <c r="C3" s="40">
        <v>46102</v>
      </c>
      <c r="D3" s="40">
        <v>46087</v>
      </c>
      <c r="E3" s="40">
        <v>46082</v>
      </c>
      <c r="F3" s="40">
        <v>46112</v>
      </c>
      <c r="G3" t="s">
        <v>136</v>
      </c>
      <c r="H3">
        <v>62133</v>
      </c>
      <c r="I3">
        <v>16776</v>
      </c>
    </row>
    <row r="4" spans="1:9">
      <c r="A4" t="s">
        <v>344</v>
      </c>
      <c r="B4" s="40">
        <v>46087</v>
      </c>
      <c r="C4" s="40">
        <v>46102</v>
      </c>
      <c r="D4" s="40">
        <v>46087</v>
      </c>
      <c r="E4" s="40">
        <v>46082</v>
      </c>
      <c r="F4" s="40">
        <v>46112</v>
      </c>
      <c r="G4" t="s">
        <v>43</v>
      </c>
      <c r="H4">
        <v>73150</v>
      </c>
      <c r="I4">
        <v>19750</v>
      </c>
    </row>
    <row r="5" spans="1:9">
      <c r="A5" t="s">
        <v>344</v>
      </c>
      <c r="B5" s="40">
        <v>46087</v>
      </c>
      <c r="C5" s="40">
        <v>46102</v>
      </c>
      <c r="D5" s="40">
        <v>46087</v>
      </c>
      <c r="E5" s="40">
        <v>46082</v>
      </c>
      <c r="F5" s="40">
        <v>46112</v>
      </c>
      <c r="G5" t="s">
        <v>97</v>
      </c>
      <c r="H5">
        <v>62625</v>
      </c>
      <c r="I5">
        <v>16909</v>
      </c>
    </row>
    <row r="6" spans="1:9">
      <c r="A6" t="s">
        <v>344</v>
      </c>
      <c r="B6" s="40">
        <v>46087</v>
      </c>
      <c r="C6" s="40">
        <v>46102</v>
      </c>
      <c r="D6" s="40">
        <v>46087</v>
      </c>
      <c r="E6" s="40">
        <v>46082</v>
      </c>
      <c r="F6" s="40">
        <v>46112</v>
      </c>
      <c r="G6" t="s">
        <v>96</v>
      </c>
      <c r="H6">
        <v>73497</v>
      </c>
      <c r="I6">
        <v>19844</v>
      </c>
    </row>
    <row r="7" spans="1:9">
      <c r="A7" t="s">
        <v>344</v>
      </c>
      <c r="B7" s="40">
        <v>46087</v>
      </c>
      <c r="C7" s="40">
        <v>46102</v>
      </c>
      <c r="D7" s="40">
        <v>46087</v>
      </c>
      <c r="E7" s="40">
        <v>46082</v>
      </c>
      <c r="F7" s="40">
        <v>46112</v>
      </c>
      <c r="G7" t="s">
        <v>98</v>
      </c>
      <c r="H7">
        <v>71225</v>
      </c>
      <c r="I7">
        <v>19231</v>
      </c>
    </row>
    <row r="8" spans="1:9">
      <c r="A8" t="s">
        <v>344</v>
      </c>
      <c r="B8" s="40">
        <v>46087</v>
      </c>
      <c r="C8" s="40">
        <v>46102</v>
      </c>
      <c r="D8" s="40">
        <v>46087</v>
      </c>
      <c r="E8" s="40">
        <v>46082</v>
      </c>
      <c r="F8" s="40">
        <v>46112</v>
      </c>
      <c r="G8" t="s">
        <v>99</v>
      </c>
      <c r="H8">
        <v>66997</v>
      </c>
      <c r="I8">
        <v>18089</v>
      </c>
    </row>
    <row r="9" spans="1:9">
      <c r="A9" t="s">
        <v>344</v>
      </c>
      <c r="B9" s="40">
        <v>46087</v>
      </c>
      <c r="C9" s="40">
        <v>46102</v>
      </c>
      <c r="D9" s="40">
        <v>46087</v>
      </c>
      <c r="E9" s="40">
        <v>46082</v>
      </c>
      <c r="F9" s="40">
        <v>46112</v>
      </c>
      <c r="G9" t="s">
        <v>92</v>
      </c>
      <c r="H9">
        <v>73850</v>
      </c>
      <c r="I9">
        <v>19940</v>
      </c>
    </row>
    <row r="10" spans="1:9">
      <c r="A10" t="s">
        <v>344</v>
      </c>
      <c r="B10" s="40">
        <v>46087</v>
      </c>
      <c r="C10" s="40">
        <v>46102</v>
      </c>
      <c r="D10" s="40">
        <v>46087</v>
      </c>
      <c r="E10" s="40">
        <v>46082</v>
      </c>
      <c r="F10" s="40">
        <v>46112</v>
      </c>
      <c r="G10" t="s">
        <v>180</v>
      </c>
      <c r="H10">
        <v>72447</v>
      </c>
      <c r="I10">
        <v>19561</v>
      </c>
    </row>
    <row r="11" spans="1:9">
      <c r="A11" t="s">
        <v>344</v>
      </c>
      <c r="B11" s="40">
        <v>46087</v>
      </c>
      <c r="C11" s="40">
        <v>46102</v>
      </c>
      <c r="D11" s="40">
        <v>46087</v>
      </c>
      <c r="E11" s="40">
        <v>46082</v>
      </c>
      <c r="F11" s="40">
        <v>46112</v>
      </c>
      <c r="G11" t="s">
        <v>179</v>
      </c>
      <c r="H11">
        <v>70638</v>
      </c>
      <c r="I11">
        <v>19072</v>
      </c>
    </row>
    <row r="12" spans="1:9">
      <c r="A12" t="s">
        <v>344</v>
      </c>
      <c r="B12" s="40">
        <v>46087</v>
      </c>
      <c r="C12" s="40">
        <v>46102</v>
      </c>
      <c r="D12" s="40">
        <v>46087</v>
      </c>
      <c r="E12" s="40">
        <v>46082</v>
      </c>
      <c r="F12" s="40">
        <v>46112</v>
      </c>
      <c r="G12" t="s">
        <v>178</v>
      </c>
      <c r="H12">
        <v>78100</v>
      </c>
      <c r="I12">
        <v>21087</v>
      </c>
    </row>
    <row r="13" spans="1:9">
      <c r="A13" t="s">
        <v>344</v>
      </c>
      <c r="B13" s="40">
        <v>46087</v>
      </c>
      <c r="C13" s="40">
        <v>46102</v>
      </c>
      <c r="D13" s="40">
        <v>46087</v>
      </c>
      <c r="E13" s="40">
        <v>46082</v>
      </c>
      <c r="F13" s="40">
        <v>46112</v>
      </c>
      <c r="G13" t="s">
        <v>119</v>
      </c>
      <c r="H13">
        <v>86565</v>
      </c>
      <c r="I13">
        <v>23373</v>
      </c>
    </row>
    <row r="14" spans="1:9">
      <c r="A14" t="s">
        <v>344</v>
      </c>
      <c r="B14" s="40">
        <v>46087</v>
      </c>
      <c r="C14" s="40">
        <v>46102</v>
      </c>
      <c r="D14" s="40">
        <v>46087</v>
      </c>
      <c r="E14" s="40">
        <v>46082</v>
      </c>
      <c r="F14" s="40">
        <v>46112</v>
      </c>
      <c r="G14" t="s">
        <v>283</v>
      </c>
      <c r="H14">
        <v>79949</v>
      </c>
      <c r="I14">
        <v>21586</v>
      </c>
    </row>
    <row r="15" spans="1:9">
      <c r="A15" t="s">
        <v>344</v>
      </c>
      <c r="B15" s="40">
        <v>46087</v>
      </c>
      <c r="C15" s="40">
        <v>46102</v>
      </c>
      <c r="D15" s="40">
        <v>46087</v>
      </c>
      <c r="E15" s="40">
        <v>46082</v>
      </c>
      <c r="F15" s="40">
        <v>46112</v>
      </c>
      <c r="G15" t="s">
        <v>109</v>
      </c>
      <c r="H15">
        <v>82855</v>
      </c>
      <c r="I15">
        <v>22371</v>
      </c>
    </row>
    <row r="16" spans="1:9">
      <c r="A16" t="s">
        <v>344</v>
      </c>
      <c r="B16" s="40">
        <v>46087</v>
      </c>
      <c r="C16" s="40">
        <v>46102</v>
      </c>
      <c r="D16" s="40">
        <v>46087</v>
      </c>
      <c r="E16" s="40">
        <v>46082</v>
      </c>
      <c r="F16" s="40">
        <v>46112</v>
      </c>
      <c r="G16" t="s">
        <v>117</v>
      </c>
      <c r="H16">
        <v>77946</v>
      </c>
      <c r="I16">
        <v>21045</v>
      </c>
    </row>
    <row r="17" spans="1:9">
      <c r="A17" t="s">
        <v>344</v>
      </c>
      <c r="B17" s="40">
        <v>46087</v>
      </c>
      <c r="C17" s="40">
        <v>46102</v>
      </c>
      <c r="D17" s="40">
        <v>46087</v>
      </c>
      <c r="E17" s="40">
        <v>46082</v>
      </c>
      <c r="F17" s="40">
        <v>46112</v>
      </c>
      <c r="G17" t="s">
        <v>104</v>
      </c>
      <c r="H17">
        <v>75740</v>
      </c>
      <c r="I17">
        <v>20450</v>
      </c>
    </row>
    <row r="18" spans="1:9">
      <c r="A18" t="s">
        <v>344</v>
      </c>
      <c r="B18" s="40">
        <v>46087</v>
      </c>
      <c r="C18" s="40">
        <v>46102</v>
      </c>
      <c r="D18" s="40">
        <v>46087</v>
      </c>
      <c r="E18" s="40">
        <v>46082</v>
      </c>
      <c r="F18" s="40">
        <v>46112</v>
      </c>
      <c r="G18" t="s">
        <v>120</v>
      </c>
      <c r="H18">
        <v>80173</v>
      </c>
      <c r="I18">
        <v>21647</v>
      </c>
    </row>
    <row r="19" spans="1:9">
      <c r="A19" t="s">
        <v>344</v>
      </c>
      <c r="B19" s="40">
        <v>46087</v>
      </c>
      <c r="C19" s="40">
        <v>46102</v>
      </c>
      <c r="D19" s="40">
        <v>46087</v>
      </c>
      <c r="E19" s="40">
        <v>46082</v>
      </c>
      <c r="F19" s="40">
        <v>46112</v>
      </c>
      <c r="G19" t="s">
        <v>181</v>
      </c>
      <c r="H19">
        <v>77462</v>
      </c>
      <c r="I19">
        <v>20915</v>
      </c>
    </row>
    <row r="20" spans="1:9">
      <c r="A20" t="s">
        <v>344</v>
      </c>
      <c r="B20" s="40">
        <v>46087</v>
      </c>
      <c r="C20" s="40">
        <v>46102</v>
      </c>
      <c r="D20" s="40">
        <v>46087</v>
      </c>
      <c r="E20" s="40">
        <v>46082</v>
      </c>
      <c r="F20" s="40">
        <v>46112</v>
      </c>
      <c r="G20" t="s">
        <v>182</v>
      </c>
      <c r="H20">
        <v>72653</v>
      </c>
      <c r="I20">
        <v>19616</v>
      </c>
    </row>
    <row r="21" spans="1:9">
      <c r="A21" t="s">
        <v>344</v>
      </c>
      <c r="B21" s="40">
        <v>46087</v>
      </c>
      <c r="C21" s="40">
        <v>46102</v>
      </c>
      <c r="D21" s="40">
        <v>46087</v>
      </c>
      <c r="E21" s="40">
        <v>46082</v>
      </c>
      <c r="F21" s="40">
        <v>46112</v>
      </c>
      <c r="G21" t="s">
        <v>183</v>
      </c>
      <c r="H21">
        <v>78872</v>
      </c>
      <c r="I21">
        <v>21295</v>
      </c>
    </row>
    <row r="22" spans="1:9">
      <c r="A22" t="s">
        <v>344</v>
      </c>
      <c r="B22" s="40">
        <v>46087</v>
      </c>
      <c r="C22" s="40">
        <v>46102</v>
      </c>
      <c r="D22" s="40">
        <v>46087</v>
      </c>
      <c r="E22" s="40">
        <v>46082</v>
      </c>
      <c r="F22" s="40">
        <v>46112</v>
      </c>
      <c r="G22" t="s">
        <v>184</v>
      </c>
      <c r="H22">
        <v>82809</v>
      </c>
      <c r="I22">
        <v>22358</v>
      </c>
    </row>
    <row r="23" spans="1:9">
      <c r="A23" t="s">
        <v>344</v>
      </c>
      <c r="B23" s="40">
        <v>46087</v>
      </c>
      <c r="C23" s="40">
        <v>46102</v>
      </c>
      <c r="D23" s="40">
        <v>46087</v>
      </c>
      <c r="E23" s="40">
        <v>46082</v>
      </c>
      <c r="F23" s="40">
        <v>46112</v>
      </c>
      <c r="G23" t="s">
        <v>186</v>
      </c>
      <c r="H23">
        <v>76782</v>
      </c>
      <c r="I23">
        <v>20731</v>
      </c>
    </row>
    <row r="24" spans="1:9">
      <c r="A24" t="s">
        <v>344</v>
      </c>
      <c r="B24" s="40">
        <v>46087</v>
      </c>
      <c r="C24" s="40">
        <v>46102</v>
      </c>
      <c r="D24" s="40">
        <v>46087</v>
      </c>
      <c r="E24" s="40">
        <v>46082</v>
      </c>
      <c r="F24" s="40">
        <v>46112</v>
      </c>
      <c r="G24" t="s">
        <v>108</v>
      </c>
      <c r="H24">
        <v>77357</v>
      </c>
      <c r="I24">
        <v>20886</v>
      </c>
    </row>
    <row r="25" spans="1:9">
      <c r="A25" t="s">
        <v>344</v>
      </c>
      <c r="B25" s="40">
        <v>46087</v>
      </c>
      <c r="C25" s="40">
        <v>46102</v>
      </c>
      <c r="D25" s="40">
        <v>46087</v>
      </c>
      <c r="E25" s="40">
        <v>46082</v>
      </c>
      <c r="F25" s="40">
        <v>46112</v>
      </c>
      <c r="G25" t="s">
        <v>54</v>
      </c>
      <c r="H25">
        <v>139835</v>
      </c>
      <c r="I25">
        <v>37755</v>
      </c>
    </row>
    <row r="26" spans="1:9">
      <c r="A26" t="s">
        <v>344</v>
      </c>
      <c r="B26" s="40">
        <v>46087</v>
      </c>
      <c r="C26" s="40">
        <v>46102</v>
      </c>
      <c r="D26" s="40">
        <v>46087</v>
      </c>
      <c r="E26" s="40">
        <v>46082</v>
      </c>
      <c r="F26" s="40">
        <v>46112</v>
      </c>
      <c r="G26" t="s">
        <v>52</v>
      </c>
      <c r="H26">
        <v>168775</v>
      </c>
      <c r="I26">
        <v>45569</v>
      </c>
    </row>
    <row r="27" spans="1:9">
      <c r="A27" t="s">
        <v>344</v>
      </c>
      <c r="B27" s="40">
        <v>46087</v>
      </c>
      <c r="C27" s="40">
        <v>46102</v>
      </c>
      <c r="D27" s="40">
        <v>46087</v>
      </c>
      <c r="E27" s="40">
        <v>46082</v>
      </c>
      <c r="F27" s="40">
        <v>46112</v>
      </c>
      <c r="G27" t="s">
        <v>53</v>
      </c>
      <c r="H27">
        <v>132714</v>
      </c>
      <c r="I27">
        <v>35833</v>
      </c>
    </row>
    <row r="28" spans="1:9">
      <c r="A28" t="s">
        <v>344</v>
      </c>
      <c r="B28" s="40">
        <v>46087</v>
      </c>
      <c r="C28" s="40">
        <v>46102</v>
      </c>
      <c r="D28" s="40">
        <v>46087</v>
      </c>
      <c r="E28" s="40">
        <v>46082</v>
      </c>
      <c r="F28" s="40">
        <v>46112</v>
      </c>
      <c r="G28" t="s">
        <v>60</v>
      </c>
      <c r="H28">
        <v>115288</v>
      </c>
      <c r="I28">
        <v>31128</v>
      </c>
    </row>
    <row r="29" spans="1:9">
      <c r="A29" t="s">
        <v>344</v>
      </c>
      <c r="B29" s="40">
        <v>46087</v>
      </c>
      <c r="C29" s="40">
        <v>46102</v>
      </c>
      <c r="D29" s="40">
        <v>46087</v>
      </c>
      <c r="E29" s="40">
        <v>46082</v>
      </c>
      <c r="F29" s="40">
        <v>46112</v>
      </c>
      <c r="G29" t="s">
        <v>57</v>
      </c>
      <c r="H29">
        <v>137993</v>
      </c>
      <c r="I29">
        <v>37258</v>
      </c>
    </row>
    <row r="30" spans="1:9">
      <c r="A30" t="s">
        <v>344</v>
      </c>
      <c r="B30" s="40">
        <v>46087</v>
      </c>
      <c r="C30" s="40">
        <v>46102</v>
      </c>
      <c r="D30" s="40">
        <v>46087</v>
      </c>
      <c r="E30" s="40">
        <v>46082</v>
      </c>
      <c r="F30" s="40">
        <v>46112</v>
      </c>
      <c r="G30" t="s">
        <v>58</v>
      </c>
      <c r="H30">
        <v>118182</v>
      </c>
      <c r="I30">
        <v>31909</v>
      </c>
    </row>
    <row r="31" spans="1:9">
      <c r="A31" t="s">
        <v>344</v>
      </c>
      <c r="B31" s="40">
        <v>46087</v>
      </c>
      <c r="C31" s="40">
        <v>46102</v>
      </c>
      <c r="D31" s="40">
        <v>46087</v>
      </c>
      <c r="E31" s="40">
        <v>46082</v>
      </c>
      <c r="F31" s="40">
        <v>46112</v>
      </c>
      <c r="G31" t="s">
        <v>59</v>
      </c>
      <c r="H31">
        <v>105350</v>
      </c>
      <c r="I31">
        <v>28445</v>
      </c>
    </row>
    <row r="32" spans="1:9">
      <c r="A32" t="s">
        <v>344</v>
      </c>
      <c r="B32" s="40">
        <v>46087</v>
      </c>
      <c r="C32" s="40">
        <v>46102</v>
      </c>
      <c r="D32" s="40">
        <v>46087</v>
      </c>
      <c r="E32" s="40">
        <v>46082</v>
      </c>
      <c r="F32" s="40">
        <v>46112</v>
      </c>
      <c r="G32" t="s">
        <v>61</v>
      </c>
      <c r="H32">
        <v>141130</v>
      </c>
      <c r="I32">
        <v>38105</v>
      </c>
    </row>
    <row r="33" spans="1:9">
      <c r="A33" t="s">
        <v>344</v>
      </c>
      <c r="B33" s="40">
        <v>46087</v>
      </c>
      <c r="C33" s="40">
        <v>46102</v>
      </c>
      <c r="D33" s="40">
        <v>46087</v>
      </c>
      <c r="E33" s="40">
        <v>46082</v>
      </c>
      <c r="F33" s="40">
        <v>46112</v>
      </c>
      <c r="G33" t="s">
        <v>62</v>
      </c>
      <c r="H33">
        <v>141223</v>
      </c>
      <c r="I33">
        <v>38130</v>
      </c>
    </row>
    <row r="34" spans="1:9">
      <c r="A34" t="s">
        <v>344</v>
      </c>
      <c r="B34" s="40">
        <v>46087</v>
      </c>
      <c r="C34" s="40">
        <v>46102</v>
      </c>
      <c r="D34" s="40">
        <v>46087</v>
      </c>
      <c r="E34" s="40">
        <v>46082</v>
      </c>
      <c r="F34" s="40">
        <v>46112</v>
      </c>
      <c r="G34" t="s">
        <v>66</v>
      </c>
      <c r="H34">
        <v>126656</v>
      </c>
      <c r="I34">
        <v>34197</v>
      </c>
    </row>
    <row r="35" spans="1:9">
      <c r="A35" t="s">
        <v>344</v>
      </c>
      <c r="B35" s="40">
        <v>46087</v>
      </c>
      <c r="C35" s="40">
        <v>46102</v>
      </c>
      <c r="D35" s="40">
        <v>46087</v>
      </c>
      <c r="E35" s="40">
        <v>46082</v>
      </c>
      <c r="F35" s="40">
        <v>46112</v>
      </c>
      <c r="G35" t="s">
        <v>67</v>
      </c>
      <c r="H35">
        <v>124237</v>
      </c>
      <c r="I35">
        <v>33544</v>
      </c>
    </row>
    <row r="36" spans="1:9">
      <c r="A36" t="s">
        <v>344</v>
      </c>
      <c r="B36" s="40">
        <v>46087</v>
      </c>
      <c r="C36" s="40">
        <v>46102</v>
      </c>
      <c r="D36" s="40">
        <v>46087</v>
      </c>
      <c r="E36" s="40">
        <v>46082</v>
      </c>
      <c r="F36" s="40">
        <v>46112</v>
      </c>
      <c r="G36" t="s">
        <v>295</v>
      </c>
      <c r="H36">
        <v>88500</v>
      </c>
      <c r="I36">
        <v>23895</v>
      </c>
    </row>
    <row r="37" spans="1:9">
      <c r="A37" t="s">
        <v>344</v>
      </c>
      <c r="B37" s="40">
        <v>46087</v>
      </c>
      <c r="C37" s="40">
        <v>46102</v>
      </c>
      <c r="D37" s="40">
        <v>46087</v>
      </c>
      <c r="E37" s="40">
        <v>46082</v>
      </c>
      <c r="F37" s="40">
        <v>46112</v>
      </c>
      <c r="G37" t="s">
        <v>296</v>
      </c>
      <c r="H37">
        <v>77019</v>
      </c>
      <c r="I37">
        <v>20795</v>
      </c>
    </row>
    <row r="38" spans="1:9">
      <c r="A38" t="s">
        <v>344</v>
      </c>
      <c r="B38" s="40">
        <v>46087</v>
      </c>
      <c r="C38" s="40">
        <v>46102</v>
      </c>
      <c r="D38" s="40">
        <v>46087</v>
      </c>
      <c r="E38" s="40">
        <v>46082</v>
      </c>
      <c r="F38" s="40">
        <v>46112</v>
      </c>
      <c r="G38" t="s">
        <v>297</v>
      </c>
      <c r="H38">
        <v>126861</v>
      </c>
      <c r="I38">
        <v>34252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6491-6B30-4BF0-BA80-624BBA9C82B2}">
  <sheetPr codeName="Munka2"/>
  <dimension ref="A8:S43"/>
  <sheetViews>
    <sheetView topLeftCell="A13" workbookViewId="0">
      <selection activeCell="L1" sqref="L1:R1048576"/>
    </sheetView>
  </sheetViews>
  <sheetFormatPr defaultRowHeight="13.8"/>
  <cols>
    <col min="1" max="1" width="20.09765625" bestFit="1" customWidth="1"/>
    <col min="2" max="2" width="15.09765625" bestFit="1" customWidth="1"/>
    <col min="3" max="3" width="12.09765625" bestFit="1" customWidth="1"/>
    <col min="4" max="4" width="11.3984375" bestFit="1" customWidth="1"/>
    <col min="7" max="7" width="8.09765625" bestFit="1" customWidth="1"/>
    <col min="8" max="8" width="5" bestFit="1" customWidth="1"/>
    <col min="9" max="9" width="15.296875" bestFit="1" customWidth="1"/>
    <col min="10" max="10" width="8.8984375" style="1"/>
    <col min="12" max="12" width="21.296875" bestFit="1" customWidth="1"/>
    <col min="13" max="13" width="9.8984375" bestFit="1" customWidth="1"/>
    <col min="16" max="16" width="6.59765625" bestFit="1" customWidth="1"/>
    <col min="17" max="17" width="5.09765625" bestFit="1" customWidth="1"/>
    <col min="18" max="18" width="12.09765625" bestFit="1" customWidth="1"/>
    <col min="19" max="19" width="10.3984375" bestFit="1" customWidth="1"/>
  </cols>
  <sheetData>
    <row r="8" spans="1:19">
      <c r="A8" s="31" t="s">
        <v>0</v>
      </c>
      <c r="B8" s="32">
        <v>13260</v>
      </c>
      <c r="C8" s="33"/>
      <c r="D8" s="33"/>
      <c r="L8" s="31" t="s">
        <v>0</v>
      </c>
      <c r="M8" s="32">
        <v>13260</v>
      </c>
    </row>
    <row r="9" spans="1:19">
      <c r="A9" s="31" t="s">
        <v>1</v>
      </c>
      <c r="B9" s="31" t="s">
        <v>2</v>
      </c>
      <c r="C9" s="33"/>
      <c r="D9" s="33"/>
      <c r="L9" s="31" t="s">
        <v>1</v>
      </c>
      <c r="M9" s="31" t="s">
        <v>194</v>
      </c>
    </row>
    <row r="10" spans="1:19">
      <c r="A10" s="31" t="s">
        <v>3</v>
      </c>
      <c r="B10" s="31" t="s">
        <v>274</v>
      </c>
      <c r="C10" s="33"/>
      <c r="D10" s="33"/>
      <c r="L10" s="31" t="s">
        <v>3</v>
      </c>
      <c r="M10" s="31" t="s">
        <v>274</v>
      </c>
    </row>
    <row r="11" spans="1:19">
      <c r="A11" s="34"/>
      <c r="B11" s="34"/>
    </row>
    <row r="12" spans="1:19">
      <c r="A12" s="35" t="s">
        <v>4</v>
      </c>
      <c r="B12" s="36"/>
      <c r="C12" s="36"/>
      <c r="D12" s="37"/>
    </row>
    <row r="13" spans="1:19">
      <c r="A13" s="24" t="s">
        <v>5</v>
      </c>
      <c r="B13" s="24" t="s">
        <v>275</v>
      </c>
      <c r="C13" s="24" t="s">
        <v>276</v>
      </c>
      <c r="D13" s="25" t="s">
        <v>277</v>
      </c>
      <c r="G13" s="17" t="s">
        <v>278</v>
      </c>
      <c r="H13" s="17" t="s">
        <v>279</v>
      </c>
      <c r="I13" s="18" t="s">
        <v>280</v>
      </c>
      <c r="L13" s="33" t="s">
        <v>292</v>
      </c>
      <c r="M13" t="s">
        <v>277</v>
      </c>
      <c r="P13" s="17" t="s">
        <v>278</v>
      </c>
      <c r="Q13" s="17" t="s">
        <v>279</v>
      </c>
      <c r="R13" s="18" t="s">
        <v>280</v>
      </c>
    </row>
    <row r="14" spans="1:19">
      <c r="A14" s="24" t="s">
        <v>6</v>
      </c>
      <c r="B14" s="26"/>
      <c r="C14" s="26"/>
      <c r="D14" s="27">
        <v>934.08</v>
      </c>
      <c r="G14" s="19">
        <f>+D14</f>
        <v>934.08</v>
      </c>
      <c r="H14">
        <v>1.5</v>
      </c>
      <c r="I14" s="20">
        <f>+ROUND(G14*H14,2)</f>
        <v>1401.12</v>
      </c>
      <c r="L14" s="24" t="s">
        <v>6</v>
      </c>
      <c r="M14" s="27">
        <v>60.3</v>
      </c>
      <c r="P14" s="19">
        <f>+M14</f>
        <v>60.3</v>
      </c>
      <c r="Q14">
        <v>0.35</v>
      </c>
      <c r="R14" s="20">
        <f>+ROUND(P14*Q14,2)</f>
        <v>21.11</v>
      </c>
      <c r="S14" s="18"/>
    </row>
    <row r="15" spans="1:19">
      <c r="A15" s="24" t="s">
        <v>7</v>
      </c>
      <c r="B15" s="26"/>
      <c r="C15" s="26"/>
      <c r="D15" s="27">
        <v>704.48</v>
      </c>
      <c r="G15" s="19">
        <f>+D15</f>
        <v>704.48</v>
      </c>
      <c r="H15">
        <v>1.5</v>
      </c>
      <c r="I15" s="20">
        <f t="shared" ref="I15:I39" si="0">+ROUND(G15*H15,2)</f>
        <v>1056.72</v>
      </c>
      <c r="L15" s="24" t="s">
        <v>7</v>
      </c>
      <c r="M15" s="27">
        <v>135.97</v>
      </c>
      <c r="P15" s="19">
        <f t="shared" ref="P15:P35" si="1">+M15</f>
        <v>135.97</v>
      </c>
      <c r="Q15">
        <v>0.35</v>
      </c>
      <c r="R15" s="20">
        <f>+ROUND(P15*Q15,2)</f>
        <v>47.59</v>
      </c>
      <c r="S15" s="20"/>
    </row>
    <row r="16" spans="1:19">
      <c r="A16" s="24" t="s">
        <v>8</v>
      </c>
      <c r="B16" s="26"/>
      <c r="C16" s="26"/>
      <c r="D16" s="27">
        <v>580.01</v>
      </c>
      <c r="G16" s="19">
        <f t="shared" ref="G16:G40" si="2">+D16</f>
        <v>580.01</v>
      </c>
      <c r="H16">
        <v>1.5</v>
      </c>
      <c r="I16" s="20">
        <f t="shared" si="0"/>
        <v>870.02</v>
      </c>
      <c r="L16" s="24" t="s">
        <v>8</v>
      </c>
      <c r="M16" s="27">
        <v>55.86</v>
      </c>
      <c r="P16" s="19">
        <f t="shared" si="1"/>
        <v>55.86</v>
      </c>
      <c r="Q16">
        <v>0.35</v>
      </c>
      <c r="R16" s="20">
        <f t="shared" ref="R16:R34" si="3">+ROUND(P16*Q16,2)</f>
        <v>19.55</v>
      </c>
      <c r="S16" s="20"/>
    </row>
    <row r="17" spans="1:19">
      <c r="A17" s="24" t="s">
        <v>9</v>
      </c>
      <c r="B17" s="26"/>
      <c r="C17" s="26"/>
      <c r="D17" s="27">
        <v>180.12</v>
      </c>
      <c r="G17" s="19">
        <f t="shared" si="2"/>
        <v>180.12</v>
      </c>
      <c r="H17">
        <v>1.5</v>
      </c>
      <c r="I17" s="20">
        <f t="shared" si="0"/>
        <v>270.18</v>
      </c>
      <c r="L17" s="24" t="s">
        <v>10</v>
      </c>
      <c r="M17" s="27">
        <v>79.87</v>
      </c>
      <c r="P17" s="19">
        <f t="shared" si="1"/>
        <v>79.87</v>
      </c>
      <c r="Q17">
        <v>0.35</v>
      </c>
      <c r="R17" s="20">
        <f t="shared" si="3"/>
        <v>27.95</v>
      </c>
      <c r="S17" s="20"/>
    </row>
    <row r="18" spans="1:19">
      <c r="A18" s="24" t="s">
        <v>10</v>
      </c>
      <c r="B18" s="26"/>
      <c r="C18" s="26"/>
      <c r="D18" s="27">
        <v>945.02</v>
      </c>
      <c r="G18" s="19">
        <f t="shared" si="2"/>
        <v>945.02</v>
      </c>
      <c r="H18">
        <v>1.5</v>
      </c>
      <c r="I18" s="20">
        <f t="shared" si="0"/>
        <v>1417.53</v>
      </c>
      <c r="L18" s="24" t="s">
        <v>11</v>
      </c>
      <c r="M18" s="27">
        <v>38.910000000000004</v>
      </c>
      <c r="P18" s="19">
        <f t="shared" si="1"/>
        <v>38.910000000000004</v>
      </c>
      <c r="Q18">
        <v>0.35</v>
      </c>
      <c r="R18" s="20">
        <f t="shared" si="3"/>
        <v>13.62</v>
      </c>
      <c r="S18" s="20"/>
    </row>
    <row r="19" spans="1:19">
      <c r="A19" s="24" t="s">
        <v>11</v>
      </c>
      <c r="B19" s="26"/>
      <c r="C19" s="26"/>
      <c r="D19" s="27">
        <v>749.84999999999991</v>
      </c>
      <c r="G19" s="19">
        <f t="shared" si="2"/>
        <v>749.84999999999991</v>
      </c>
      <c r="H19">
        <v>1.5</v>
      </c>
      <c r="I19" s="20">
        <f t="shared" si="0"/>
        <v>1124.78</v>
      </c>
      <c r="L19" s="24" t="s">
        <v>12</v>
      </c>
      <c r="M19" s="27">
        <v>62.92</v>
      </c>
      <c r="P19" s="19">
        <f t="shared" si="1"/>
        <v>62.92</v>
      </c>
      <c r="Q19">
        <v>0.35</v>
      </c>
      <c r="R19" s="20">
        <f t="shared" si="3"/>
        <v>22.02</v>
      </c>
      <c r="S19" s="20"/>
    </row>
    <row r="20" spans="1:19">
      <c r="A20" s="24" t="s">
        <v>12</v>
      </c>
      <c r="B20" s="26"/>
      <c r="C20" s="26"/>
      <c r="D20" s="27">
        <v>260.38</v>
      </c>
      <c r="G20" s="19">
        <f t="shared" si="2"/>
        <v>260.38</v>
      </c>
      <c r="H20">
        <v>1.5</v>
      </c>
      <c r="I20" s="20">
        <f t="shared" si="0"/>
        <v>390.57</v>
      </c>
      <c r="L20" s="24" t="s">
        <v>13</v>
      </c>
      <c r="M20" s="27">
        <v>33.47</v>
      </c>
      <c r="P20" s="19">
        <f t="shared" si="1"/>
        <v>33.47</v>
      </c>
      <c r="Q20">
        <v>0.35</v>
      </c>
      <c r="R20" s="20">
        <f t="shared" si="3"/>
        <v>11.71</v>
      </c>
      <c r="S20" s="20"/>
    </row>
    <row r="21" spans="1:19">
      <c r="A21" s="24" t="s">
        <v>13</v>
      </c>
      <c r="B21" s="26"/>
      <c r="C21" s="26"/>
      <c r="D21" s="27">
        <v>869.15</v>
      </c>
      <c r="G21" s="19">
        <f t="shared" si="2"/>
        <v>869.15</v>
      </c>
      <c r="H21">
        <v>1.5</v>
      </c>
      <c r="I21" s="20">
        <f t="shared" si="0"/>
        <v>1303.73</v>
      </c>
      <c r="L21" s="24" t="s">
        <v>287</v>
      </c>
      <c r="M21" s="27">
        <v>134.85999999999999</v>
      </c>
      <c r="P21" s="19">
        <f t="shared" si="1"/>
        <v>134.85999999999999</v>
      </c>
      <c r="Q21">
        <v>0.35</v>
      </c>
      <c r="R21" s="20">
        <f t="shared" si="3"/>
        <v>47.2</v>
      </c>
      <c r="S21" s="20"/>
    </row>
    <row r="22" spans="1:19">
      <c r="A22" s="24" t="s">
        <v>287</v>
      </c>
      <c r="B22" s="26"/>
      <c r="C22" s="26"/>
      <c r="D22" s="27">
        <v>1991.47</v>
      </c>
      <c r="G22" s="19">
        <f t="shared" si="2"/>
        <v>1991.47</v>
      </c>
      <c r="H22">
        <v>1.5</v>
      </c>
      <c r="I22" s="20">
        <f t="shared" si="0"/>
        <v>2987.21</v>
      </c>
      <c r="L22" s="24" t="s">
        <v>290</v>
      </c>
      <c r="M22" s="27">
        <v>49.879999999999995</v>
      </c>
      <c r="P22" s="19">
        <f t="shared" si="1"/>
        <v>49.879999999999995</v>
      </c>
      <c r="Q22">
        <v>0.35</v>
      </c>
      <c r="R22" s="20">
        <f t="shared" si="3"/>
        <v>17.46</v>
      </c>
      <c r="S22" s="20"/>
    </row>
    <row r="23" spans="1:19">
      <c r="A23" s="24" t="s">
        <v>290</v>
      </c>
      <c r="B23" s="26"/>
      <c r="C23" s="26"/>
      <c r="D23" s="27">
        <v>805.01</v>
      </c>
      <c r="G23" s="19">
        <f t="shared" si="2"/>
        <v>805.01</v>
      </c>
      <c r="H23">
        <v>1.5</v>
      </c>
      <c r="I23" s="20">
        <f t="shared" si="0"/>
        <v>1207.52</v>
      </c>
      <c r="L23" s="24" t="s">
        <v>291</v>
      </c>
      <c r="M23" s="27">
        <v>34.99</v>
      </c>
      <c r="P23" s="19">
        <f t="shared" si="1"/>
        <v>34.99</v>
      </c>
      <c r="Q23">
        <v>0.35</v>
      </c>
      <c r="R23" s="20">
        <f t="shared" si="3"/>
        <v>12.25</v>
      </c>
      <c r="S23" s="20"/>
    </row>
    <row r="24" spans="1:19">
      <c r="A24" s="24" t="s">
        <v>291</v>
      </c>
      <c r="B24" s="26"/>
      <c r="C24" s="26"/>
      <c r="D24" s="27">
        <v>700.96</v>
      </c>
      <c r="G24" s="19">
        <f t="shared" si="2"/>
        <v>700.96</v>
      </c>
      <c r="H24">
        <v>1.5</v>
      </c>
      <c r="I24" s="20">
        <f t="shared" si="0"/>
        <v>1051.44</v>
      </c>
      <c r="L24" s="24" t="s">
        <v>289</v>
      </c>
      <c r="M24" s="27">
        <v>58.900000000000006</v>
      </c>
      <c r="P24" s="19">
        <f t="shared" si="1"/>
        <v>58.900000000000006</v>
      </c>
      <c r="Q24">
        <v>0.35</v>
      </c>
      <c r="R24" s="20">
        <f t="shared" si="3"/>
        <v>20.62</v>
      </c>
      <c r="S24" s="20"/>
    </row>
    <row r="25" spans="1:19">
      <c r="A25" s="24" t="s">
        <v>289</v>
      </c>
      <c r="B25" s="26"/>
      <c r="C25" s="26"/>
      <c r="D25" s="27">
        <v>419.14</v>
      </c>
      <c r="G25" s="19">
        <f t="shared" si="2"/>
        <v>419.14</v>
      </c>
      <c r="H25">
        <v>1.5</v>
      </c>
      <c r="I25" s="20">
        <f t="shared" si="0"/>
        <v>628.71</v>
      </c>
      <c r="L25" s="24" t="s">
        <v>111</v>
      </c>
      <c r="M25" s="27">
        <v>32.93</v>
      </c>
      <c r="P25" s="19">
        <f t="shared" si="1"/>
        <v>32.93</v>
      </c>
      <c r="Q25">
        <v>0.35</v>
      </c>
      <c r="R25" s="20">
        <f t="shared" si="3"/>
        <v>11.53</v>
      </c>
      <c r="S25" s="20"/>
    </row>
    <row r="26" spans="1:19">
      <c r="A26" s="24" t="s">
        <v>14</v>
      </c>
      <c r="B26" s="26"/>
      <c r="C26" s="26"/>
      <c r="D26" s="27">
        <v>165</v>
      </c>
      <c r="G26" s="19">
        <f t="shared" si="2"/>
        <v>165</v>
      </c>
      <c r="H26">
        <v>1.5</v>
      </c>
      <c r="I26" s="20">
        <f t="shared" si="0"/>
        <v>247.5</v>
      </c>
      <c r="L26" s="24" t="s">
        <v>21</v>
      </c>
      <c r="M26" s="27">
        <v>24.89</v>
      </c>
      <c r="P26" s="19">
        <f t="shared" si="1"/>
        <v>24.89</v>
      </c>
      <c r="Q26">
        <v>0.35</v>
      </c>
      <c r="R26" s="20">
        <f t="shared" si="3"/>
        <v>8.7100000000000009</v>
      </c>
      <c r="S26" s="20"/>
    </row>
    <row r="27" spans="1:19">
      <c r="A27" s="24" t="s">
        <v>15</v>
      </c>
      <c r="B27" s="26"/>
      <c r="C27" s="26"/>
      <c r="D27" s="27">
        <v>201</v>
      </c>
      <c r="G27" s="19">
        <f t="shared" si="2"/>
        <v>201</v>
      </c>
      <c r="H27">
        <v>1.5</v>
      </c>
      <c r="I27" s="20">
        <f t="shared" si="0"/>
        <v>301.5</v>
      </c>
      <c r="L27" s="24" t="s">
        <v>22</v>
      </c>
      <c r="M27" s="27">
        <v>64.960000000000008</v>
      </c>
      <c r="P27" s="19">
        <f t="shared" si="1"/>
        <v>64.960000000000008</v>
      </c>
      <c r="Q27">
        <v>0.35</v>
      </c>
      <c r="R27" s="20">
        <f t="shared" si="3"/>
        <v>22.74</v>
      </c>
      <c r="S27" s="20"/>
    </row>
    <row r="28" spans="1:19">
      <c r="A28" s="24" t="s">
        <v>111</v>
      </c>
      <c r="B28" s="26"/>
      <c r="C28" s="26"/>
      <c r="D28" s="27">
        <v>400.03</v>
      </c>
      <c r="G28" s="19">
        <f t="shared" si="2"/>
        <v>400.03</v>
      </c>
      <c r="H28">
        <v>1.5</v>
      </c>
      <c r="I28" s="20">
        <f t="shared" si="0"/>
        <v>600.04999999999995</v>
      </c>
      <c r="L28" s="24" t="s">
        <v>23</v>
      </c>
      <c r="M28" s="27">
        <v>43.47</v>
      </c>
      <c r="P28" s="19">
        <f t="shared" si="1"/>
        <v>43.47</v>
      </c>
      <c r="Q28">
        <v>0.35</v>
      </c>
      <c r="R28" s="20">
        <f t="shared" si="3"/>
        <v>15.21</v>
      </c>
      <c r="S28" s="20"/>
    </row>
    <row r="29" spans="1:19">
      <c r="A29" s="24" t="s">
        <v>147</v>
      </c>
      <c r="B29" s="26"/>
      <c r="C29" s="26"/>
      <c r="D29" s="27">
        <v>105.11</v>
      </c>
      <c r="G29" s="19">
        <f t="shared" si="2"/>
        <v>105.11</v>
      </c>
      <c r="H29">
        <v>1.5</v>
      </c>
      <c r="I29" s="20">
        <f t="shared" si="0"/>
        <v>157.66999999999999</v>
      </c>
      <c r="L29" s="24" t="s">
        <v>24</v>
      </c>
      <c r="M29" s="27">
        <v>62.38</v>
      </c>
      <c r="P29" s="19">
        <f t="shared" si="1"/>
        <v>62.38</v>
      </c>
      <c r="Q29">
        <v>0.35</v>
      </c>
      <c r="R29" s="20">
        <f t="shared" si="3"/>
        <v>21.83</v>
      </c>
      <c r="S29" s="20"/>
    </row>
    <row r="30" spans="1:19">
      <c r="A30" s="24" t="s">
        <v>21</v>
      </c>
      <c r="B30" s="26"/>
      <c r="C30" s="26"/>
      <c r="D30" s="27">
        <v>340.02</v>
      </c>
      <c r="G30" s="19">
        <f t="shared" si="2"/>
        <v>340.02</v>
      </c>
      <c r="H30">
        <v>1.5</v>
      </c>
      <c r="I30" s="20">
        <f t="shared" si="0"/>
        <v>510.03</v>
      </c>
      <c r="L30" s="24" t="s">
        <v>25</v>
      </c>
      <c r="M30" s="27">
        <v>141.6</v>
      </c>
      <c r="P30" s="19">
        <f t="shared" si="1"/>
        <v>141.6</v>
      </c>
      <c r="Q30">
        <v>0.35</v>
      </c>
      <c r="R30" s="20">
        <f t="shared" si="3"/>
        <v>49.56</v>
      </c>
      <c r="S30" s="20"/>
    </row>
    <row r="31" spans="1:19">
      <c r="A31" s="24" t="s">
        <v>22</v>
      </c>
      <c r="B31" s="26"/>
      <c r="C31" s="26"/>
      <c r="D31" s="27">
        <v>1435.6999999999998</v>
      </c>
      <c r="G31" s="19">
        <f t="shared" si="2"/>
        <v>1435.6999999999998</v>
      </c>
      <c r="H31">
        <v>1.5</v>
      </c>
      <c r="I31" s="20">
        <f t="shared" si="0"/>
        <v>2153.5500000000002</v>
      </c>
      <c r="L31" s="24" t="s">
        <v>28</v>
      </c>
      <c r="M31" s="27">
        <v>93.36</v>
      </c>
      <c r="P31" s="19">
        <f t="shared" si="1"/>
        <v>93.36</v>
      </c>
      <c r="Q31">
        <v>0.35</v>
      </c>
      <c r="R31" s="20">
        <f t="shared" si="3"/>
        <v>32.68</v>
      </c>
      <c r="S31" s="20"/>
    </row>
    <row r="32" spans="1:19">
      <c r="A32" s="24" t="s">
        <v>23</v>
      </c>
      <c r="B32" s="26"/>
      <c r="C32" s="26"/>
      <c r="D32" s="27">
        <v>1240.05</v>
      </c>
      <c r="G32" s="19">
        <f t="shared" si="2"/>
        <v>1240.05</v>
      </c>
      <c r="H32">
        <v>1.5</v>
      </c>
      <c r="I32" s="20">
        <f t="shared" si="0"/>
        <v>1860.08</v>
      </c>
      <c r="L32" s="24" t="s">
        <v>29</v>
      </c>
      <c r="M32" s="27">
        <v>145.62</v>
      </c>
      <c r="P32" s="19">
        <f t="shared" si="1"/>
        <v>145.62</v>
      </c>
      <c r="Q32">
        <v>0.35</v>
      </c>
      <c r="R32" s="20">
        <f t="shared" si="3"/>
        <v>50.97</v>
      </c>
      <c r="S32" s="20"/>
    </row>
    <row r="33" spans="1:19">
      <c r="A33" s="24" t="s">
        <v>24</v>
      </c>
      <c r="B33" s="26"/>
      <c r="C33" s="26"/>
      <c r="D33" s="27">
        <v>470.61</v>
      </c>
      <c r="G33" s="19">
        <f t="shared" si="2"/>
        <v>470.61</v>
      </c>
      <c r="H33">
        <v>1.5</v>
      </c>
      <c r="I33" s="20">
        <f t="shared" si="0"/>
        <v>705.92</v>
      </c>
      <c r="L33" s="24" t="s">
        <v>30</v>
      </c>
      <c r="M33" s="27">
        <v>62.93</v>
      </c>
      <c r="P33" s="19">
        <f t="shared" si="1"/>
        <v>62.93</v>
      </c>
      <c r="Q33">
        <v>0.35</v>
      </c>
      <c r="R33" s="20">
        <f t="shared" si="3"/>
        <v>22.03</v>
      </c>
      <c r="S33" s="20"/>
    </row>
    <row r="34" spans="1:19">
      <c r="A34" s="24" t="s">
        <v>25</v>
      </c>
      <c r="B34" s="26"/>
      <c r="C34" s="26"/>
      <c r="D34" s="27">
        <v>1129.05</v>
      </c>
      <c r="G34" s="19">
        <f t="shared" si="2"/>
        <v>1129.05</v>
      </c>
      <c r="H34">
        <v>1.5</v>
      </c>
      <c r="I34" s="20">
        <f t="shared" si="0"/>
        <v>1693.58</v>
      </c>
      <c r="L34" s="24" t="s">
        <v>31</v>
      </c>
      <c r="M34" s="27">
        <v>42.370000000000005</v>
      </c>
      <c r="P34" s="19">
        <f t="shared" si="1"/>
        <v>42.370000000000005</v>
      </c>
      <c r="Q34">
        <v>0.35</v>
      </c>
      <c r="R34" s="20">
        <f t="shared" si="3"/>
        <v>14.83</v>
      </c>
      <c r="S34" s="20"/>
    </row>
    <row r="35" spans="1:19">
      <c r="A35" s="24" t="s">
        <v>27</v>
      </c>
      <c r="B35" s="26"/>
      <c r="C35" s="26"/>
      <c r="D35" s="27">
        <v>820.22</v>
      </c>
      <c r="G35" s="19">
        <f t="shared" si="2"/>
        <v>820.22</v>
      </c>
      <c r="H35">
        <v>1.5</v>
      </c>
      <c r="I35" s="20">
        <f t="shared" si="0"/>
        <v>1230.33</v>
      </c>
      <c r="L35" s="24" t="s">
        <v>32</v>
      </c>
      <c r="M35" s="27">
        <v>22.82</v>
      </c>
      <c r="P35" s="19">
        <f t="shared" si="1"/>
        <v>22.82</v>
      </c>
      <c r="Q35">
        <v>0.35</v>
      </c>
      <c r="R35" s="20">
        <f>+ROUND(P35*Q35,2)-0.02</f>
        <v>7.9700000000000006</v>
      </c>
      <c r="S35" s="20"/>
    </row>
    <row r="36" spans="1:19" ht="15.6">
      <c r="A36" s="24" t="s">
        <v>28</v>
      </c>
      <c r="B36" s="26"/>
      <c r="C36" s="26"/>
      <c r="D36" s="27">
        <v>540.13</v>
      </c>
      <c r="G36" s="19">
        <f t="shared" si="2"/>
        <v>540.13</v>
      </c>
      <c r="H36">
        <v>1.5</v>
      </c>
      <c r="I36" s="20">
        <f t="shared" si="0"/>
        <v>810.2</v>
      </c>
      <c r="L36" s="29" t="s">
        <v>282</v>
      </c>
      <c r="M36" s="30">
        <v>1483.26</v>
      </c>
      <c r="P36" s="28"/>
      <c r="Q36" s="28"/>
      <c r="R36" s="38">
        <f>SUM(R14:R35)</f>
        <v>519.13999999999987</v>
      </c>
      <c r="S36" s="20"/>
    </row>
    <row r="37" spans="1:19">
      <c r="A37" s="24" t="s">
        <v>29</v>
      </c>
      <c r="B37" s="26"/>
      <c r="C37" s="26"/>
      <c r="D37" s="27">
        <v>1715.7800000000002</v>
      </c>
      <c r="G37" s="19">
        <f t="shared" si="2"/>
        <v>1715.7800000000002</v>
      </c>
      <c r="H37">
        <v>1.5</v>
      </c>
      <c r="I37" s="20">
        <f t="shared" si="0"/>
        <v>2573.67</v>
      </c>
      <c r="L37" s="24"/>
      <c r="M37" s="27"/>
      <c r="P37" s="19"/>
      <c r="R37" s="20"/>
      <c r="S37" s="20"/>
    </row>
    <row r="38" spans="1:19" ht="15.6">
      <c r="A38" s="24" t="s">
        <v>30</v>
      </c>
      <c r="B38" s="26"/>
      <c r="C38" s="26"/>
      <c r="D38" s="27">
        <v>876.33</v>
      </c>
      <c r="G38" s="19">
        <f t="shared" si="2"/>
        <v>876.33</v>
      </c>
      <c r="H38">
        <v>1.5</v>
      </c>
      <c r="I38" s="20">
        <f t="shared" si="0"/>
        <v>1314.5</v>
      </c>
      <c r="N38" s="39"/>
      <c r="S38" s="20"/>
    </row>
    <row r="39" spans="1:19" ht="15.6">
      <c r="A39" s="24" t="s">
        <v>31</v>
      </c>
      <c r="B39" s="26"/>
      <c r="C39" s="26"/>
      <c r="D39" s="27">
        <v>487.56</v>
      </c>
      <c r="G39" s="19">
        <f t="shared" si="2"/>
        <v>487.56</v>
      </c>
      <c r="H39">
        <v>1.5</v>
      </c>
      <c r="I39" s="20">
        <f t="shared" si="0"/>
        <v>731.34</v>
      </c>
      <c r="N39" s="39"/>
      <c r="S39" s="20"/>
    </row>
    <row r="40" spans="1:19">
      <c r="A40" s="24" t="s">
        <v>32</v>
      </c>
      <c r="B40" s="26"/>
      <c r="C40" s="26"/>
      <c r="D40" s="27">
        <v>357.03</v>
      </c>
      <c r="G40" s="19">
        <f t="shared" si="2"/>
        <v>357.03</v>
      </c>
      <c r="H40">
        <v>1.5</v>
      </c>
      <c r="I40" s="20">
        <f>+ROUND(G40*H40,2)-0.06</f>
        <v>535.49</v>
      </c>
    </row>
    <row r="41" spans="1:19" ht="15.6">
      <c r="A41" s="29" t="s">
        <v>282</v>
      </c>
      <c r="B41" s="29"/>
      <c r="C41" s="29"/>
      <c r="D41" s="30">
        <v>19423.289999999997</v>
      </c>
      <c r="G41" s="28"/>
      <c r="H41" s="28"/>
      <c r="I41" s="38">
        <f>SUM(I14:I40)</f>
        <v>29134.94000000001</v>
      </c>
    </row>
    <row r="43" spans="1:19">
      <c r="S43" s="2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75E77-D463-424C-89AC-5F437F17ABCD}">
  <sheetPr codeName="Munka3"/>
  <dimension ref="A1:A8"/>
  <sheetViews>
    <sheetView workbookViewId="0">
      <selection activeCell="G8" sqref="G8"/>
    </sheetView>
  </sheetViews>
  <sheetFormatPr defaultRowHeight="13.8"/>
  <sheetData>
    <row r="1" spans="1:1">
      <c r="A1">
        <v>4541</v>
      </c>
    </row>
    <row r="2" spans="1:1">
      <c r="A2">
        <v>4542</v>
      </c>
    </row>
    <row r="3" spans="1:1">
      <c r="A3">
        <v>4543</v>
      </c>
    </row>
    <row r="4" spans="1:1">
      <c r="A4">
        <v>4544</v>
      </c>
    </row>
    <row r="5" spans="1:1">
      <c r="A5">
        <v>4545</v>
      </c>
    </row>
    <row r="6" spans="1:1">
      <c r="A6">
        <v>4546</v>
      </c>
    </row>
    <row r="7" spans="1:1">
      <c r="A7">
        <v>4547</v>
      </c>
    </row>
    <row r="8" spans="1:1">
      <c r="A8">
        <v>4548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7C79E-575D-4998-9927-E5CCCC9CBE25}">
  <sheetPr codeName="Munka4"/>
  <dimension ref="A1:G209"/>
  <sheetViews>
    <sheetView workbookViewId="0">
      <selection activeCell="F2" sqref="F2:F208"/>
    </sheetView>
  </sheetViews>
  <sheetFormatPr defaultRowHeight="10.199999999999999"/>
  <cols>
    <col min="1" max="1" width="15.5" style="47" bestFit="1" customWidth="1"/>
    <col min="2" max="2" width="10.09765625" style="47" bestFit="1" customWidth="1"/>
    <col min="3" max="4" width="14.3984375" style="47" bestFit="1" customWidth="1"/>
    <col min="5" max="5" width="7.796875" style="47" customWidth="1"/>
    <col min="6" max="6" width="5.3984375" style="47" bestFit="1" customWidth="1"/>
    <col min="7" max="7" width="5.5" style="47" bestFit="1" customWidth="1"/>
    <col min="8" max="16384" width="8.796875" style="47"/>
  </cols>
  <sheetData>
    <row r="1" spans="1:7">
      <c r="A1" s="47" t="s">
        <v>33</v>
      </c>
      <c r="B1" s="47" t="s">
        <v>34</v>
      </c>
      <c r="E1" s="47" t="s">
        <v>342</v>
      </c>
      <c r="F1" s="47" t="s">
        <v>35</v>
      </c>
      <c r="G1" s="47" t="s">
        <v>36</v>
      </c>
    </row>
    <row r="2" spans="1:7">
      <c r="A2" s="47" t="s">
        <v>37</v>
      </c>
      <c r="B2" s="47" t="s">
        <v>38</v>
      </c>
      <c r="C2" s="47" t="s">
        <v>335</v>
      </c>
      <c r="D2" s="47" t="s">
        <v>336</v>
      </c>
      <c r="F2" s="49">
        <v>430430</v>
      </c>
      <c r="G2" s="47" t="s">
        <v>39</v>
      </c>
    </row>
    <row r="3" spans="1:7">
      <c r="A3" s="47" t="s">
        <v>40</v>
      </c>
      <c r="B3" s="47" t="s">
        <v>41</v>
      </c>
      <c r="C3" s="47" t="s">
        <v>335</v>
      </c>
      <c r="D3" s="47" t="s">
        <v>337</v>
      </c>
      <c r="F3" s="47">
        <v>430440</v>
      </c>
      <c r="G3" s="47" t="s">
        <v>39</v>
      </c>
    </row>
    <row r="4" spans="1:7">
      <c r="A4" s="47" t="s">
        <v>37</v>
      </c>
      <c r="B4" s="47" t="s">
        <v>42</v>
      </c>
      <c r="C4" s="47" t="s">
        <v>335</v>
      </c>
      <c r="D4" s="47" t="s">
        <v>336</v>
      </c>
      <c r="F4" s="49">
        <v>430430</v>
      </c>
      <c r="G4" s="47" t="s">
        <v>39</v>
      </c>
    </row>
    <row r="5" spans="1:7">
      <c r="A5" s="47" t="s">
        <v>37</v>
      </c>
      <c r="B5" s="47" t="s">
        <v>43</v>
      </c>
      <c r="C5" s="47" t="s">
        <v>335</v>
      </c>
      <c r="D5" s="47" t="s">
        <v>336</v>
      </c>
      <c r="F5" s="49">
        <v>430430</v>
      </c>
      <c r="G5" s="47" t="s">
        <v>39</v>
      </c>
    </row>
    <row r="6" spans="1:7">
      <c r="A6" s="47" t="s">
        <v>40</v>
      </c>
      <c r="B6" s="47" t="s">
        <v>44</v>
      </c>
      <c r="C6" s="47" t="s">
        <v>335</v>
      </c>
      <c r="D6" s="47" t="s">
        <v>337</v>
      </c>
      <c r="F6" s="47">
        <v>430440</v>
      </c>
      <c r="G6" s="47" t="s">
        <v>39</v>
      </c>
    </row>
    <row r="7" spans="1:7">
      <c r="A7" s="47" t="s">
        <v>45</v>
      </c>
      <c r="B7" s="47" t="s">
        <v>46</v>
      </c>
      <c r="C7" s="47" t="s">
        <v>335</v>
      </c>
      <c r="D7" s="47" t="s">
        <v>338</v>
      </c>
      <c r="F7" s="49">
        <v>430430</v>
      </c>
      <c r="G7" s="47" t="s">
        <v>39</v>
      </c>
    </row>
    <row r="8" spans="1:7">
      <c r="A8" s="47" t="s">
        <v>40</v>
      </c>
      <c r="B8" s="47" t="s">
        <v>47</v>
      </c>
      <c r="C8" s="47" t="s">
        <v>335</v>
      </c>
      <c r="D8" s="47" t="s">
        <v>337</v>
      </c>
      <c r="F8" s="47">
        <v>430440</v>
      </c>
      <c r="G8" s="47" t="s">
        <v>39</v>
      </c>
    </row>
    <row r="9" spans="1:7">
      <c r="A9" s="47" t="s">
        <v>48</v>
      </c>
      <c r="B9" s="47" t="s">
        <v>6</v>
      </c>
      <c r="C9" s="47" t="s">
        <v>48</v>
      </c>
      <c r="D9" s="47" t="s">
        <v>339</v>
      </c>
      <c r="F9" s="47">
        <v>430200</v>
      </c>
      <c r="G9" s="47" t="s">
        <v>39</v>
      </c>
    </row>
    <row r="10" spans="1:7">
      <c r="A10" s="47" t="s">
        <v>45</v>
      </c>
      <c r="B10" s="47" t="s">
        <v>49</v>
      </c>
      <c r="C10" s="47" t="s">
        <v>335</v>
      </c>
      <c r="D10" s="47" t="s">
        <v>338</v>
      </c>
      <c r="F10" s="49">
        <v>430430</v>
      </c>
      <c r="G10" s="47" t="s">
        <v>39</v>
      </c>
    </row>
    <row r="11" spans="1:7">
      <c r="A11" s="47" t="s">
        <v>50</v>
      </c>
      <c r="B11" s="47" t="s">
        <v>7</v>
      </c>
      <c r="C11" s="47" t="s">
        <v>50</v>
      </c>
      <c r="D11" s="47" t="s">
        <v>339</v>
      </c>
      <c r="F11" s="47">
        <v>430100</v>
      </c>
      <c r="G11" s="47" t="s">
        <v>39</v>
      </c>
    </row>
    <row r="12" spans="1:7">
      <c r="A12" s="47" t="s">
        <v>40</v>
      </c>
      <c r="B12" s="47" t="s">
        <v>51</v>
      </c>
      <c r="C12" s="47" t="s">
        <v>335</v>
      </c>
      <c r="D12" s="47" t="s">
        <v>337</v>
      </c>
      <c r="F12" s="47">
        <v>430440</v>
      </c>
      <c r="G12" s="47" t="s">
        <v>39</v>
      </c>
    </row>
    <row r="13" spans="1:7">
      <c r="A13" s="47" t="s">
        <v>45</v>
      </c>
      <c r="B13" s="47" t="s">
        <v>52</v>
      </c>
      <c r="C13" s="47" t="s">
        <v>335</v>
      </c>
      <c r="D13" s="47" t="s">
        <v>338</v>
      </c>
      <c r="F13" s="49">
        <v>430430</v>
      </c>
      <c r="G13" s="47" t="s">
        <v>39</v>
      </c>
    </row>
    <row r="14" spans="1:7">
      <c r="A14" s="47" t="s">
        <v>45</v>
      </c>
      <c r="B14" s="47" t="s">
        <v>53</v>
      </c>
      <c r="C14" s="47" t="s">
        <v>335</v>
      </c>
      <c r="D14" s="47" t="s">
        <v>338</v>
      </c>
      <c r="F14" s="49">
        <v>430430</v>
      </c>
      <c r="G14" s="47" t="s">
        <v>39</v>
      </c>
    </row>
    <row r="15" spans="1:7">
      <c r="A15" s="47" t="s">
        <v>45</v>
      </c>
      <c r="B15" s="47" t="s">
        <v>54</v>
      </c>
      <c r="C15" s="47" t="s">
        <v>335</v>
      </c>
      <c r="D15" s="47" t="s">
        <v>338</v>
      </c>
      <c r="F15" s="49">
        <v>430430</v>
      </c>
      <c r="G15" s="47" t="s">
        <v>39</v>
      </c>
    </row>
    <row r="16" spans="1:7">
      <c r="A16" s="47" t="s">
        <v>37</v>
      </c>
      <c r="B16" s="47" t="s">
        <v>55</v>
      </c>
      <c r="C16" s="47" t="s">
        <v>335</v>
      </c>
      <c r="D16" s="47" t="s">
        <v>336</v>
      </c>
      <c r="F16" s="49">
        <v>430430</v>
      </c>
      <c r="G16" s="47" t="s">
        <v>39</v>
      </c>
    </row>
    <row r="17" spans="1:7">
      <c r="A17" s="47" t="s">
        <v>48</v>
      </c>
      <c r="B17" s="47" t="s">
        <v>8</v>
      </c>
      <c r="C17" s="47" t="s">
        <v>48</v>
      </c>
      <c r="D17" s="47" t="s">
        <v>339</v>
      </c>
      <c r="F17" s="47">
        <v>430200</v>
      </c>
      <c r="G17" s="47" t="s">
        <v>39</v>
      </c>
    </row>
    <row r="18" spans="1:7">
      <c r="A18" s="47" t="s">
        <v>48</v>
      </c>
      <c r="B18" s="47" t="s">
        <v>9</v>
      </c>
      <c r="C18" s="47" t="s">
        <v>48</v>
      </c>
      <c r="D18" s="47" t="s">
        <v>339</v>
      </c>
      <c r="F18" s="47">
        <v>430200</v>
      </c>
      <c r="G18" s="47" t="s">
        <v>39</v>
      </c>
    </row>
    <row r="19" spans="1:7">
      <c r="A19" s="47" t="s">
        <v>45</v>
      </c>
      <c r="B19" s="47" t="s">
        <v>56</v>
      </c>
      <c r="C19" s="47" t="s">
        <v>335</v>
      </c>
      <c r="D19" s="47" t="s">
        <v>338</v>
      </c>
      <c r="F19" s="49">
        <v>430430</v>
      </c>
      <c r="G19" s="47" t="s">
        <v>39</v>
      </c>
    </row>
    <row r="20" spans="1:7">
      <c r="A20" s="47" t="s">
        <v>48</v>
      </c>
      <c r="B20" s="47" t="s">
        <v>10</v>
      </c>
      <c r="C20" s="47" t="s">
        <v>48</v>
      </c>
      <c r="D20" s="47" t="s">
        <v>339</v>
      </c>
      <c r="F20" s="47">
        <v>430200</v>
      </c>
      <c r="G20" s="47" t="s">
        <v>39</v>
      </c>
    </row>
    <row r="21" spans="1:7">
      <c r="A21" s="47" t="s">
        <v>48</v>
      </c>
      <c r="B21" s="47" t="s">
        <v>11</v>
      </c>
      <c r="C21" s="47" t="s">
        <v>48</v>
      </c>
      <c r="D21" s="47" t="s">
        <v>339</v>
      </c>
      <c r="F21" s="47">
        <v>430200</v>
      </c>
      <c r="G21" s="47" t="s">
        <v>39</v>
      </c>
    </row>
    <row r="22" spans="1:7">
      <c r="A22" s="47" t="s">
        <v>45</v>
      </c>
      <c r="B22" s="47" t="s">
        <v>57</v>
      </c>
      <c r="C22" s="47" t="s">
        <v>335</v>
      </c>
      <c r="D22" s="47" t="s">
        <v>338</v>
      </c>
      <c r="F22" s="49">
        <v>430430</v>
      </c>
      <c r="G22" s="47" t="s">
        <v>39</v>
      </c>
    </row>
    <row r="23" spans="1:7">
      <c r="A23" s="47" t="s">
        <v>37</v>
      </c>
      <c r="B23" s="47" t="s">
        <v>58</v>
      </c>
      <c r="C23" s="47" t="s">
        <v>335</v>
      </c>
      <c r="D23" s="47" t="s">
        <v>336</v>
      </c>
      <c r="F23" s="49">
        <v>430430</v>
      </c>
      <c r="G23" s="47" t="s">
        <v>39</v>
      </c>
    </row>
    <row r="24" spans="1:7">
      <c r="A24" s="47" t="s">
        <v>37</v>
      </c>
      <c r="B24" s="47" t="s">
        <v>59</v>
      </c>
      <c r="C24" s="47" t="s">
        <v>335</v>
      </c>
      <c r="D24" s="47" t="s">
        <v>336</v>
      </c>
      <c r="F24" s="49">
        <v>430430</v>
      </c>
      <c r="G24" s="47" t="s">
        <v>39</v>
      </c>
    </row>
    <row r="25" spans="1:7">
      <c r="A25" s="47" t="s">
        <v>37</v>
      </c>
      <c r="B25" s="47" t="s">
        <v>60</v>
      </c>
      <c r="C25" s="47" t="s">
        <v>335</v>
      </c>
      <c r="D25" s="47" t="s">
        <v>336</v>
      </c>
      <c r="F25" s="49">
        <v>430430</v>
      </c>
      <c r="G25" s="47" t="s">
        <v>39</v>
      </c>
    </row>
    <row r="26" spans="1:7">
      <c r="A26" s="47" t="s">
        <v>40</v>
      </c>
      <c r="B26" s="47" t="s">
        <v>61</v>
      </c>
      <c r="C26" s="47" t="s">
        <v>335</v>
      </c>
      <c r="D26" s="47" t="s">
        <v>337</v>
      </c>
      <c r="F26" s="47">
        <v>430440</v>
      </c>
      <c r="G26" s="47" t="s">
        <v>39</v>
      </c>
    </row>
    <row r="27" spans="1:7">
      <c r="A27" s="47" t="s">
        <v>40</v>
      </c>
      <c r="B27" s="47" t="s">
        <v>62</v>
      </c>
      <c r="C27" s="47" t="s">
        <v>335</v>
      </c>
      <c r="D27" s="47" t="s">
        <v>337</v>
      </c>
      <c r="F27" s="47">
        <v>430440</v>
      </c>
      <c r="G27" s="47" t="s">
        <v>39</v>
      </c>
    </row>
    <row r="28" spans="1:7">
      <c r="A28" s="47" t="s">
        <v>48</v>
      </c>
      <c r="B28" s="47" t="s">
        <v>12</v>
      </c>
      <c r="C28" s="47" t="s">
        <v>48</v>
      </c>
      <c r="D28" s="47" t="s">
        <v>339</v>
      </c>
      <c r="F28" s="47">
        <v>430200</v>
      </c>
      <c r="G28" s="47" t="s">
        <v>39</v>
      </c>
    </row>
    <row r="29" spans="1:7">
      <c r="A29" s="47" t="s">
        <v>48</v>
      </c>
      <c r="B29" s="47" t="s">
        <v>13</v>
      </c>
      <c r="C29" s="47" t="s">
        <v>48</v>
      </c>
      <c r="D29" s="47" t="s">
        <v>339</v>
      </c>
      <c r="F29" s="47">
        <v>430200</v>
      </c>
      <c r="G29" s="47" t="s">
        <v>39</v>
      </c>
    </row>
    <row r="30" spans="1:7">
      <c r="A30" s="47" t="s">
        <v>45</v>
      </c>
      <c r="B30" s="47" t="s">
        <v>63</v>
      </c>
      <c r="C30" s="47" t="s">
        <v>335</v>
      </c>
      <c r="D30" s="47" t="s">
        <v>338</v>
      </c>
      <c r="F30" s="49">
        <v>430430</v>
      </c>
      <c r="G30" s="47" t="s">
        <v>39</v>
      </c>
    </row>
    <row r="31" spans="1:7">
      <c r="A31" s="47" t="s">
        <v>48</v>
      </c>
      <c r="B31" s="47" t="s">
        <v>64</v>
      </c>
      <c r="C31" s="47" t="s">
        <v>48</v>
      </c>
      <c r="D31" s="47" t="s">
        <v>339</v>
      </c>
      <c r="F31" s="47">
        <v>430200</v>
      </c>
      <c r="G31" s="47" t="s">
        <v>39</v>
      </c>
    </row>
    <row r="32" spans="1:7">
      <c r="A32" s="47" t="s">
        <v>40</v>
      </c>
      <c r="B32" s="47" t="s">
        <v>65</v>
      </c>
      <c r="C32" s="47" t="s">
        <v>335</v>
      </c>
      <c r="D32" s="47" t="s">
        <v>337</v>
      </c>
      <c r="F32" s="47">
        <v>430440</v>
      </c>
      <c r="G32" s="47" t="s">
        <v>39</v>
      </c>
    </row>
    <row r="33" spans="1:7">
      <c r="A33" s="47" t="s">
        <v>37</v>
      </c>
      <c r="B33" s="47" t="s">
        <v>66</v>
      </c>
      <c r="C33" s="47" t="s">
        <v>335</v>
      </c>
      <c r="D33" s="47" t="s">
        <v>336</v>
      </c>
      <c r="F33" s="49">
        <v>430430</v>
      </c>
      <c r="G33" s="47" t="s">
        <v>39</v>
      </c>
    </row>
    <row r="34" spans="1:7">
      <c r="A34" s="47" t="s">
        <v>37</v>
      </c>
      <c r="B34" s="47" t="s">
        <v>67</v>
      </c>
      <c r="C34" s="47" t="s">
        <v>335</v>
      </c>
      <c r="D34" s="47" t="s">
        <v>336</v>
      </c>
      <c r="F34" s="49">
        <v>430430</v>
      </c>
      <c r="G34" s="47" t="s">
        <v>39</v>
      </c>
    </row>
    <row r="35" spans="1:7">
      <c r="A35" s="47" t="s">
        <v>45</v>
      </c>
      <c r="B35" s="47" t="s">
        <v>283</v>
      </c>
      <c r="C35" s="47" t="s">
        <v>335</v>
      </c>
      <c r="D35" s="47" t="s">
        <v>338</v>
      </c>
      <c r="F35" s="49">
        <v>430430</v>
      </c>
      <c r="G35" s="47" t="s">
        <v>39</v>
      </c>
    </row>
    <row r="36" spans="1:7">
      <c r="A36" s="47" t="s">
        <v>48</v>
      </c>
      <c r="B36" s="47" t="s">
        <v>281</v>
      </c>
      <c r="C36" s="47" t="s">
        <v>48</v>
      </c>
      <c r="D36" s="47" t="s">
        <v>339</v>
      </c>
      <c r="F36" s="47">
        <v>430200</v>
      </c>
      <c r="G36" s="47" t="s">
        <v>39</v>
      </c>
    </row>
    <row r="37" spans="1:7">
      <c r="A37" s="47" t="s">
        <v>50</v>
      </c>
      <c r="B37" s="47" t="s">
        <v>287</v>
      </c>
      <c r="C37" s="47" t="s">
        <v>50</v>
      </c>
      <c r="D37" s="47" t="s">
        <v>339</v>
      </c>
      <c r="F37" s="47">
        <v>430100</v>
      </c>
      <c r="G37" s="47" t="s">
        <v>39</v>
      </c>
    </row>
    <row r="38" spans="1:7">
      <c r="A38" s="47" t="s">
        <v>50</v>
      </c>
      <c r="B38" s="47" t="s">
        <v>290</v>
      </c>
      <c r="C38" s="47" t="s">
        <v>50</v>
      </c>
      <c r="D38" s="47" t="s">
        <v>339</v>
      </c>
      <c r="F38" s="47">
        <v>430100</v>
      </c>
      <c r="G38" s="47" t="s">
        <v>39</v>
      </c>
    </row>
    <row r="39" spans="1:7">
      <c r="A39" s="47" t="s">
        <v>50</v>
      </c>
      <c r="B39" s="47" t="s">
        <v>291</v>
      </c>
      <c r="C39" s="47" t="s">
        <v>50</v>
      </c>
      <c r="D39" s="47" t="s">
        <v>339</v>
      </c>
      <c r="F39" s="47">
        <v>430100</v>
      </c>
      <c r="G39" s="47" t="s">
        <v>39</v>
      </c>
    </row>
    <row r="40" spans="1:7">
      <c r="A40" s="47" t="s">
        <v>48</v>
      </c>
      <c r="B40" s="47" t="s">
        <v>288</v>
      </c>
      <c r="C40" s="47" t="s">
        <v>48</v>
      </c>
      <c r="D40" s="47" t="s">
        <v>339</v>
      </c>
      <c r="F40" s="47">
        <v>430200</v>
      </c>
      <c r="G40" s="47" t="s">
        <v>39</v>
      </c>
    </row>
    <row r="41" spans="1:7">
      <c r="A41" s="47" t="s">
        <v>40</v>
      </c>
      <c r="B41" s="47" t="s">
        <v>294</v>
      </c>
      <c r="C41" s="47" t="s">
        <v>335</v>
      </c>
      <c r="D41" s="47" t="s">
        <v>337</v>
      </c>
      <c r="F41" s="47">
        <v>430440</v>
      </c>
      <c r="G41" s="47" t="s">
        <v>39</v>
      </c>
    </row>
    <row r="42" spans="1:7">
      <c r="A42" s="47" t="s">
        <v>40</v>
      </c>
      <c r="B42" s="47" t="s">
        <v>293</v>
      </c>
      <c r="C42" s="47" t="s">
        <v>335</v>
      </c>
      <c r="D42" s="47" t="s">
        <v>337</v>
      </c>
      <c r="F42" s="47">
        <v>430440</v>
      </c>
      <c r="G42" s="47" t="s">
        <v>39</v>
      </c>
    </row>
    <row r="43" spans="1:7">
      <c r="A43" s="47" t="s">
        <v>48</v>
      </c>
      <c r="B43" s="47" t="s">
        <v>289</v>
      </c>
      <c r="C43" s="47" t="s">
        <v>48</v>
      </c>
      <c r="D43" s="47" t="s">
        <v>339</v>
      </c>
      <c r="F43" s="47">
        <v>430200</v>
      </c>
      <c r="G43" s="47" t="s">
        <v>39</v>
      </c>
    </row>
    <row r="44" spans="1:7">
      <c r="A44" s="47" t="s">
        <v>37</v>
      </c>
      <c r="B44" s="47" t="s">
        <v>284</v>
      </c>
      <c r="C44" s="47" t="s">
        <v>335</v>
      </c>
      <c r="D44" s="47" t="s">
        <v>336</v>
      </c>
      <c r="F44" s="49">
        <v>430430</v>
      </c>
      <c r="G44" s="47" t="s">
        <v>39</v>
      </c>
    </row>
    <row r="45" spans="1:7">
      <c r="A45" s="47" t="s">
        <v>40</v>
      </c>
      <c r="B45" s="47" t="s">
        <v>285</v>
      </c>
      <c r="C45" s="47" t="s">
        <v>335</v>
      </c>
      <c r="D45" s="47" t="s">
        <v>337</v>
      </c>
      <c r="F45" s="47">
        <v>430440</v>
      </c>
      <c r="G45" s="47" t="s">
        <v>39</v>
      </c>
    </row>
    <row r="46" spans="1:7">
      <c r="A46" s="47" t="s">
        <v>40</v>
      </c>
      <c r="B46" s="47" t="s">
        <v>286</v>
      </c>
      <c r="C46" s="47" t="s">
        <v>335</v>
      </c>
      <c r="D46" s="47" t="s">
        <v>337</v>
      </c>
      <c r="F46" s="47">
        <v>430440</v>
      </c>
      <c r="G46" s="47" t="s">
        <v>39</v>
      </c>
    </row>
    <row r="47" spans="1:7">
      <c r="A47" s="47" t="s">
        <v>37</v>
      </c>
      <c r="B47" s="47" t="s">
        <v>301</v>
      </c>
      <c r="C47" s="47" t="s">
        <v>335</v>
      </c>
      <c r="D47" s="47" t="s">
        <v>336</v>
      </c>
      <c r="F47" s="49">
        <v>430430</v>
      </c>
      <c r="G47" s="47" t="s">
        <v>39</v>
      </c>
    </row>
    <row r="48" spans="1:7">
      <c r="A48" s="47" t="s">
        <v>45</v>
      </c>
      <c r="B48" s="47" t="s">
        <v>302</v>
      </c>
      <c r="C48" s="47" t="s">
        <v>335</v>
      </c>
      <c r="D48" s="47" t="s">
        <v>338</v>
      </c>
      <c r="F48" s="49">
        <v>430430</v>
      </c>
      <c r="G48" s="47" t="s">
        <v>39</v>
      </c>
    </row>
    <row r="49" spans="1:7">
      <c r="A49" s="47" t="s">
        <v>40</v>
      </c>
      <c r="B49" s="47" t="s">
        <v>295</v>
      </c>
      <c r="C49" s="47" t="s">
        <v>335</v>
      </c>
      <c r="D49" s="47" t="s">
        <v>337</v>
      </c>
      <c r="F49" s="47">
        <v>430440</v>
      </c>
      <c r="G49" s="47" t="s">
        <v>39</v>
      </c>
    </row>
    <row r="50" spans="1:7">
      <c r="A50" s="47" t="s">
        <v>37</v>
      </c>
      <c r="B50" s="47" t="s">
        <v>303</v>
      </c>
      <c r="C50" s="47" t="s">
        <v>335</v>
      </c>
      <c r="D50" s="47" t="s">
        <v>336</v>
      </c>
      <c r="F50" s="49">
        <v>430430</v>
      </c>
      <c r="G50" s="47" t="s">
        <v>39</v>
      </c>
    </row>
    <row r="51" spans="1:7">
      <c r="A51" s="47" t="s">
        <v>45</v>
      </c>
      <c r="B51" s="47" t="s">
        <v>304</v>
      </c>
      <c r="C51" s="47" t="s">
        <v>335</v>
      </c>
      <c r="D51" s="47" t="s">
        <v>338</v>
      </c>
      <c r="F51" s="49">
        <v>430430</v>
      </c>
      <c r="G51" s="47" t="s">
        <v>39</v>
      </c>
    </row>
    <row r="52" spans="1:7">
      <c r="A52" s="47" t="s">
        <v>40</v>
      </c>
      <c r="B52" s="47" t="s">
        <v>305</v>
      </c>
      <c r="C52" s="47" t="s">
        <v>335</v>
      </c>
      <c r="D52" s="47" t="s">
        <v>337</v>
      </c>
      <c r="F52" s="47">
        <v>430440</v>
      </c>
      <c r="G52" s="47" t="s">
        <v>39</v>
      </c>
    </row>
    <row r="53" spans="1:7">
      <c r="A53" s="47" t="s">
        <v>40</v>
      </c>
      <c r="B53" s="47" t="s">
        <v>297</v>
      </c>
      <c r="C53" s="47" t="s">
        <v>335</v>
      </c>
      <c r="D53" s="47" t="s">
        <v>337</v>
      </c>
      <c r="F53" s="47">
        <v>430440</v>
      </c>
      <c r="G53" s="47" t="s">
        <v>39</v>
      </c>
    </row>
    <row r="54" spans="1:7">
      <c r="A54" s="47" t="s">
        <v>37</v>
      </c>
      <c r="B54" s="47" t="s">
        <v>296</v>
      </c>
      <c r="C54" s="47" t="s">
        <v>335</v>
      </c>
      <c r="D54" s="47" t="s">
        <v>336</v>
      </c>
      <c r="F54" s="49">
        <v>430430</v>
      </c>
      <c r="G54" s="47" t="s">
        <v>39</v>
      </c>
    </row>
    <row r="55" spans="1:7">
      <c r="A55" s="47" t="s">
        <v>40</v>
      </c>
      <c r="B55" s="47" t="s">
        <v>318</v>
      </c>
      <c r="C55" s="47" t="s">
        <v>335</v>
      </c>
      <c r="D55" s="47" t="s">
        <v>337</v>
      </c>
      <c r="F55" s="47">
        <v>430440</v>
      </c>
      <c r="G55" s="47" t="s">
        <v>39</v>
      </c>
    </row>
    <row r="56" spans="1:7">
      <c r="A56" s="47" t="s">
        <v>37</v>
      </c>
      <c r="B56" s="47" t="s">
        <v>319</v>
      </c>
      <c r="C56" s="47" t="s">
        <v>335</v>
      </c>
      <c r="D56" s="47" t="s">
        <v>336</v>
      </c>
      <c r="F56" s="49">
        <v>430430</v>
      </c>
      <c r="G56" s="47" t="s">
        <v>39</v>
      </c>
    </row>
    <row r="57" spans="1:7">
      <c r="A57" s="47" t="s">
        <v>37</v>
      </c>
      <c r="B57" s="47" t="s">
        <v>320</v>
      </c>
      <c r="C57" s="47" t="s">
        <v>335</v>
      </c>
      <c r="D57" s="47" t="s">
        <v>336</v>
      </c>
      <c r="F57" s="49">
        <v>430430</v>
      </c>
      <c r="G57" s="47" t="s">
        <v>39</v>
      </c>
    </row>
    <row r="58" spans="1:7">
      <c r="A58" s="47" t="s">
        <v>50</v>
      </c>
      <c r="B58" s="47" t="s">
        <v>321</v>
      </c>
      <c r="C58" s="47" t="s">
        <v>50</v>
      </c>
      <c r="D58" s="47" t="s">
        <v>339</v>
      </c>
      <c r="F58" s="47">
        <v>430100</v>
      </c>
      <c r="G58" s="47" t="s">
        <v>39</v>
      </c>
    </row>
    <row r="59" spans="1:7">
      <c r="A59" s="47" t="s">
        <v>50</v>
      </c>
      <c r="B59" s="47" t="s">
        <v>322</v>
      </c>
      <c r="C59" s="47" t="s">
        <v>50</v>
      </c>
      <c r="D59" s="47" t="s">
        <v>339</v>
      </c>
      <c r="F59" s="47">
        <v>430100</v>
      </c>
      <c r="G59" s="47" t="s">
        <v>39</v>
      </c>
    </row>
    <row r="60" spans="1:7">
      <c r="A60" s="47" t="s">
        <v>50</v>
      </c>
      <c r="B60" s="47" t="s">
        <v>323</v>
      </c>
      <c r="C60" s="47" t="s">
        <v>50</v>
      </c>
      <c r="D60" s="47" t="s">
        <v>339</v>
      </c>
      <c r="F60" s="47">
        <v>430100</v>
      </c>
      <c r="G60" s="47" t="s">
        <v>39</v>
      </c>
    </row>
    <row r="61" spans="1:7">
      <c r="A61" s="47" t="s">
        <v>37</v>
      </c>
      <c r="B61" s="47" t="s">
        <v>325</v>
      </c>
      <c r="C61" s="47" t="s">
        <v>335</v>
      </c>
      <c r="D61" s="47" t="s">
        <v>336</v>
      </c>
      <c r="F61" s="49">
        <v>430430</v>
      </c>
      <c r="G61" s="47" t="s">
        <v>39</v>
      </c>
    </row>
    <row r="62" spans="1:7">
      <c r="A62" s="47" t="s">
        <v>40</v>
      </c>
      <c r="B62" s="47" t="s">
        <v>326</v>
      </c>
      <c r="C62" s="47" t="s">
        <v>335</v>
      </c>
      <c r="D62" s="47" t="s">
        <v>337</v>
      </c>
      <c r="F62" s="47">
        <v>430440</v>
      </c>
      <c r="G62" s="47" t="s">
        <v>39</v>
      </c>
    </row>
    <row r="63" spans="1:7">
      <c r="A63" s="47" t="s">
        <v>40</v>
      </c>
      <c r="B63" s="47" t="s">
        <v>327</v>
      </c>
      <c r="C63" s="47" t="s">
        <v>335</v>
      </c>
      <c r="D63" s="47" t="s">
        <v>337</v>
      </c>
      <c r="F63" s="47">
        <v>430440</v>
      </c>
      <c r="G63" s="47" t="s">
        <v>39</v>
      </c>
    </row>
    <row r="64" spans="1:7">
      <c r="A64" s="47" t="s">
        <v>40</v>
      </c>
      <c r="B64" s="47" t="s">
        <v>328</v>
      </c>
      <c r="C64" s="47" t="s">
        <v>335</v>
      </c>
      <c r="D64" s="47" t="s">
        <v>337</v>
      </c>
      <c r="F64" s="47">
        <v>430440</v>
      </c>
      <c r="G64" s="47" t="s">
        <v>39</v>
      </c>
    </row>
    <row r="65" spans="1:7">
      <c r="A65" s="47" t="s">
        <v>37</v>
      </c>
      <c r="B65" s="47" t="s">
        <v>329</v>
      </c>
      <c r="C65" s="47" t="s">
        <v>335</v>
      </c>
      <c r="D65" s="47" t="s">
        <v>336</v>
      </c>
      <c r="F65" s="49">
        <v>430430</v>
      </c>
      <c r="G65" s="47" t="s">
        <v>39</v>
      </c>
    </row>
    <row r="66" spans="1:7">
      <c r="A66" s="47" t="s">
        <v>50</v>
      </c>
      <c r="B66" s="47" t="s">
        <v>330</v>
      </c>
      <c r="C66" s="47" t="s">
        <v>50</v>
      </c>
      <c r="D66" s="47" t="s">
        <v>339</v>
      </c>
      <c r="F66" s="47">
        <v>430100</v>
      </c>
      <c r="G66" s="47" t="s">
        <v>39</v>
      </c>
    </row>
    <row r="67" spans="1:7">
      <c r="A67" s="47" t="s">
        <v>37</v>
      </c>
      <c r="B67" s="47" t="s">
        <v>331</v>
      </c>
      <c r="C67" s="47" t="s">
        <v>335</v>
      </c>
      <c r="D67" s="47" t="s">
        <v>336</v>
      </c>
      <c r="F67" s="49">
        <v>430430</v>
      </c>
      <c r="G67" s="47" t="s">
        <v>39</v>
      </c>
    </row>
    <row r="68" spans="1:7">
      <c r="A68" s="47" t="s">
        <v>45</v>
      </c>
      <c r="B68" s="47" t="s">
        <v>332</v>
      </c>
      <c r="C68" s="47" t="s">
        <v>335</v>
      </c>
      <c r="D68" s="47" t="s">
        <v>338</v>
      </c>
      <c r="F68" s="49">
        <v>430430</v>
      </c>
      <c r="G68" s="47" t="s">
        <v>39</v>
      </c>
    </row>
    <row r="69" spans="1:7">
      <c r="A69" s="47" t="s">
        <v>48</v>
      </c>
      <c r="B69" s="47" t="s">
        <v>333</v>
      </c>
      <c r="C69" s="47" t="s">
        <v>48</v>
      </c>
      <c r="D69" s="47" t="s">
        <v>339</v>
      </c>
      <c r="F69" s="47">
        <v>430200</v>
      </c>
      <c r="G69" s="47" t="s">
        <v>39</v>
      </c>
    </row>
    <row r="70" spans="1:7">
      <c r="A70" s="47" t="s">
        <v>40</v>
      </c>
      <c r="B70" s="47" t="s">
        <v>340</v>
      </c>
      <c r="C70" s="47" t="s">
        <v>335</v>
      </c>
      <c r="D70" s="47" t="s">
        <v>337</v>
      </c>
      <c r="F70" s="47">
        <v>430440</v>
      </c>
      <c r="G70" s="47" t="s">
        <v>39</v>
      </c>
    </row>
    <row r="71" spans="1:7">
      <c r="A71" s="47" t="s">
        <v>40</v>
      </c>
      <c r="B71" s="47" t="s">
        <v>341</v>
      </c>
      <c r="C71" s="47" t="s">
        <v>335</v>
      </c>
      <c r="D71" s="47" t="s">
        <v>337</v>
      </c>
      <c r="F71" s="47">
        <v>430440</v>
      </c>
      <c r="G71" s="47" t="s">
        <v>39</v>
      </c>
    </row>
    <row r="72" spans="1:7">
      <c r="A72" s="47" t="s">
        <v>73</v>
      </c>
      <c r="B72" s="47" t="s">
        <v>74</v>
      </c>
      <c r="C72" s="47" t="s">
        <v>75</v>
      </c>
      <c r="D72" s="47" t="s">
        <v>75</v>
      </c>
      <c r="F72" s="47">
        <v>430852</v>
      </c>
      <c r="G72" s="47" t="s">
        <v>72</v>
      </c>
    </row>
    <row r="73" spans="1:7">
      <c r="A73" s="47" t="s">
        <v>68</v>
      </c>
      <c r="B73" s="47" t="s">
        <v>69</v>
      </c>
      <c r="C73" s="47" t="s">
        <v>70</v>
      </c>
      <c r="D73" s="47" t="s">
        <v>71</v>
      </c>
      <c r="F73" s="47">
        <v>430449</v>
      </c>
      <c r="G73" s="47" t="s">
        <v>72</v>
      </c>
    </row>
    <row r="74" spans="1:7">
      <c r="A74" s="47" t="s">
        <v>71</v>
      </c>
      <c r="B74" s="47" t="s">
        <v>76</v>
      </c>
      <c r="C74" s="47" t="s">
        <v>75</v>
      </c>
      <c r="D74" s="47" t="s">
        <v>75</v>
      </c>
      <c r="F74" s="47">
        <v>430899</v>
      </c>
      <c r="G74" s="47" t="s">
        <v>77</v>
      </c>
    </row>
    <row r="75" spans="1:7">
      <c r="A75" s="47" t="s">
        <v>73</v>
      </c>
      <c r="B75" s="47" t="s">
        <v>78</v>
      </c>
      <c r="C75" s="47" t="s">
        <v>75</v>
      </c>
      <c r="D75" s="47" t="s">
        <v>75</v>
      </c>
      <c r="F75" s="47">
        <v>430852</v>
      </c>
      <c r="G75" s="47" t="s">
        <v>72</v>
      </c>
    </row>
    <row r="76" spans="1:7">
      <c r="A76" s="47" t="s">
        <v>71</v>
      </c>
      <c r="B76" s="47" t="s">
        <v>306</v>
      </c>
      <c r="C76" s="47" t="s">
        <v>75</v>
      </c>
      <c r="D76" s="47" t="s">
        <v>75</v>
      </c>
      <c r="F76" s="47">
        <v>430899</v>
      </c>
      <c r="G76" s="47" t="s">
        <v>77</v>
      </c>
    </row>
    <row r="77" spans="1:7">
      <c r="A77" s="47" t="s">
        <v>68</v>
      </c>
      <c r="B77" s="47" t="s">
        <v>307</v>
      </c>
      <c r="C77" s="47" t="s">
        <v>80</v>
      </c>
      <c r="D77" s="47" t="s">
        <v>80</v>
      </c>
      <c r="F77" s="47">
        <v>430449</v>
      </c>
      <c r="G77" s="47" t="s">
        <v>72</v>
      </c>
    </row>
    <row r="78" spans="1:7">
      <c r="A78" s="47" t="s">
        <v>68</v>
      </c>
      <c r="B78" s="47" t="s">
        <v>308</v>
      </c>
      <c r="C78" s="47" t="s">
        <v>80</v>
      </c>
      <c r="D78" s="47" t="s">
        <v>80</v>
      </c>
      <c r="F78" s="47">
        <v>430449</v>
      </c>
      <c r="G78" s="47" t="s">
        <v>72</v>
      </c>
    </row>
    <row r="79" spans="1:7">
      <c r="A79" s="47" t="s">
        <v>68</v>
      </c>
      <c r="B79" s="47" t="s">
        <v>79</v>
      </c>
      <c r="C79" s="47" t="s">
        <v>80</v>
      </c>
      <c r="D79" s="47" t="s">
        <v>80</v>
      </c>
      <c r="F79" s="47">
        <v>430449</v>
      </c>
      <c r="G79" s="47" t="s">
        <v>72</v>
      </c>
    </row>
    <row r="80" spans="1:7">
      <c r="A80" s="47" t="s">
        <v>40</v>
      </c>
      <c r="B80" s="47" t="s">
        <v>82</v>
      </c>
      <c r="C80" s="47" t="s">
        <v>335</v>
      </c>
      <c r="D80" s="47" t="s">
        <v>337</v>
      </c>
      <c r="F80" s="47">
        <v>430440</v>
      </c>
      <c r="G80" s="47" t="s">
        <v>39</v>
      </c>
    </row>
    <row r="81" spans="1:7">
      <c r="A81" s="47" t="s">
        <v>68</v>
      </c>
      <c r="B81" s="47" t="s">
        <v>83</v>
      </c>
      <c r="C81" s="47" t="s">
        <v>80</v>
      </c>
      <c r="D81" s="47" t="s">
        <v>80</v>
      </c>
      <c r="F81" s="47">
        <v>430449</v>
      </c>
      <c r="G81" s="47" t="s">
        <v>72</v>
      </c>
    </row>
    <row r="82" spans="1:7">
      <c r="A82" s="47" t="s">
        <v>71</v>
      </c>
      <c r="B82" s="47" t="s">
        <v>84</v>
      </c>
      <c r="C82" s="47" t="s">
        <v>75</v>
      </c>
      <c r="D82" s="47" t="s">
        <v>75</v>
      </c>
      <c r="F82" s="47">
        <v>430899</v>
      </c>
      <c r="G82" s="47" t="s">
        <v>77</v>
      </c>
    </row>
    <row r="83" spans="1:7">
      <c r="A83" s="47" t="s">
        <v>85</v>
      </c>
      <c r="B83" s="47" t="s">
        <v>86</v>
      </c>
      <c r="C83" s="47" t="s">
        <v>80</v>
      </c>
      <c r="D83" s="47" t="s">
        <v>80</v>
      </c>
      <c r="F83" s="47">
        <v>430149</v>
      </c>
      <c r="G83" s="47" t="s">
        <v>72</v>
      </c>
    </row>
    <row r="84" spans="1:7">
      <c r="A84" s="47" t="s">
        <v>71</v>
      </c>
      <c r="B84" s="47" t="s">
        <v>87</v>
      </c>
      <c r="C84" s="47" t="s">
        <v>75</v>
      </c>
      <c r="D84" s="47" t="s">
        <v>75</v>
      </c>
      <c r="F84" s="47">
        <v>430899</v>
      </c>
      <c r="G84" s="47" t="s">
        <v>77</v>
      </c>
    </row>
    <row r="85" spans="1:7">
      <c r="A85" s="47" t="s">
        <v>40</v>
      </c>
      <c r="B85" s="47" t="s">
        <v>88</v>
      </c>
      <c r="C85" s="47" t="s">
        <v>335</v>
      </c>
      <c r="D85" s="47" t="s">
        <v>337</v>
      </c>
      <c r="F85" s="47">
        <v>430440</v>
      </c>
      <c r="G85" s="47" t="s">
        <v>39</v>
      </c>
    </row>
    <row r="86" spans="1:7">
      <c r="A86" s="47" t="s">
        <v>50</v>
      </c>
      <c r="B86" s="47" t="s">
        <v>14</v>
      </c>
      <c r="C86" s="47" t="s">
        <v>50</v>
      </c>
      <c r="D86" s="47" t="s">
        <v>339</v>
      </c>
      <c r="F86" s="47">
        <v>430100</v>
      </c>
      <c r="G86" s="47" t="s">
        <v>39</v>
      </c>
    </row>
    <row r="87" spans="1:7">
      <c r="A87" s="47" t="s">
        <v>48</v>
      </c>
      <c r="B87" s="47" t="s">
        <v>89</v>
      </c>
      <c r="C87" s="47" t="s">
        <v>48</v>
      </c>
      <c r="D87" s="47" t="s">
        <v>339</v>
      </c>
      <c r="F87" s="47">
        <v>430200</v>
      </c>
      <c r="G87" s="47" t="s">
        <v>39</v>
      </c>
    </row>
    <row r="88" spans="1:7">
      <c r="A88" s="47" t="s">
        <v>37</v>
      </c>
      <c r="B88" s="47" t="s">
        <v>90</v>
      </c>
      <c r="C88" s="47" t="s">
        <v>335</v>
      </c>
      <c r="D88" s="47" t="s">
        <v>336</v>
      </c>
      <c r="F88" s="49">
        <v>430430</v>
      </c>
      <c r="G88" s="47" t="s">
        <v>39</v>
      </c>
    </row>
    <row r="89" spans="1:7">
      <c r="A89" s="47" t="s">
        <v>40</v>
      </c>
      <c r="B89" s="47" t="s">
        <v>91</v>
      </c>
      <c r="C89" s="47" t="s">
        <v>335</v>
      </c>
      <c r="D89" s="47" t="s">
        <v>337</v>
      </c>
      <c r="F89" s="47">
        <v>430440</v>
      </c>
      <c r="G89" s="47" t="s">
        <v>39</v>
      </c>
    </row>
    <row r="90" spans="1:7">
      <c r="A90" s="47" t="s">
        <v>40</v>
      </c>
      <c r="B90" s="47" t="s">
        <v>92</v>
      </c>
      <c r="C90" s="47" t="s">
        <v>335</v>
      </c>
      <c r="D90" s="47" t="s">
        <v>337</v>
      </c>
      <c r="F90" s="47">
        <v>430440</v>
      </c>
      <c r="G90" s="47" t="s">
        <v>39</v>
      </c>
    </row>
    <row r="91" spans="1:7">
      <c r="A91" s="47" t="s">
        <v>37</v>
      </c>
      <c r="B91" s="47" t="s">
        <v>93</v>
      </c>
      <c r="C91" s="47" t="s">
        <v>335</v>
      </c>
      <c r="D91" s="47" t="s">
        <v>336</v>
      </c>
      <c r="F91" s="49">
        <v>430430</v>
      </c>
      <c r="G91" s="47" t="s">
        <v>39</v>
      </c>
    </row>
    <row r="92" spans="1:7">
      <c r="A92" s="47" t="s">
        <v>48</v>
      </c>
      <c r="B92" s="47" t="s">
        <v>94</v>
      </c>
      <c r="C92" s="47" t="s">
        <v>48</v>
      </c>
      <c r="D92" s="47" t="s">
        <v>339</v>
      </c>
      <c r="F92" s="47">
        <v>430200</v>
      </c>
      <c r="G92" s="47" t="s">
        <v>39</v>
      </c>
    </row>
    <row r="93" spans="1:7">
      <c r="A93" s="47" t="s">
        <v>40</v>
      </c>
      <c r="B93" s="47" t="s">
        <v>95</v>
      </c>
      <c r="C93" s="47" t="s">
        <v>335</v>
      </c>
      <c r="D93" s="47" t="s">
        <v>337</v>
      </c>
      <c r="F93" s="47">
        <v>430440</v>
      </c>
      <c r="G93" s="47" t="s">
        <v>39</v>
      </c>
    </row>
    <row r="94" spans="1:7">
      <c r="A94" s="47" t="s">
        <v>40</v>
      </c>
      <c r="B94" s="47" t="s">
        <v>96</v>
      </c>
      <c r="C94" s="47" t="s">
        <v>335</v>
      </c>
      <c r="D94" s="47" t="s">
        <v>337</v>
      </c>
      <c r="F94" s="47">
        <v>430440</v>
      </c>
      <c r="G94" s="47" t="s">
        <v>39</v>
      </c>
    </row>
    <row r="95" spans="1:7">
      <c r="A95" s="47" t="s">
        <v>40</v>
      </c>
      <c r="B95" s="47" t="s">
        <v>97</v>
      </c>
      <c r="C95" s="47" t="s">
        <v>335</v>
      </c>
      <c r="D95" s="47" t="s">
        <v>337</v>
      </c>
      <c r="F95" s="47">
        <v>430440</v>
      </c>
      <c r="G95" s="47" t="s">
        <v>39</v>
      </c>
    </row>
    <row r="96" spans="1:7">
      <c r="A96" s="47" t="s">
        <v>37</v>
      </c>
      <c r="B96" s="47" t="s">
        <v>98</v>
      </c>
      <c r="C96" s="47" t="s">
        <v>335</v>
      </c>
      <c r="D96" s="47" t="s">
        <v>336</v>
      </c>
      <c r="F96" s="49">
        <v>430430</v>
      </c>
      <c r="G96" s="47" t="s">
        <v>39</v>
      </c>
    </row>
    <row r="97" spans="1:7">
      <c r="A97" s="47" t="s">
        <v>81</v>
      </c>
      <c r="B97" s="47" t="s">
        <v>99</v>
      </c>
      <c r="C97" s="47">
        <v>0</v>
      </c>
      <c r="D97" s="47">
        <v>0</v>
      </c>
      <c r="F97" s="47">
        <v>430880</v>
      </c>
      <c r="G97" s="47" t="s">
        <v>39</v>
      </c>
    </row>
    <row r="98" spans="1:7">
      <c r="A98" s="47" t="s">
        <v>50</v>
      </c>
      <c r="B98" s="47" t="s">
        <v>15</v>
      </c>
      <c r="C98" s="47" t="s">
        <v>50</v>
      </c>
      <c r="D98" s="47" t="s">
        <v>339</v>
      </c>
      <c r="F98" s="47">
        <v>430100</v>
      </c>
      <c r="G98" s="47" t="s">
        <v>39</v>
      </c>
    </row>
    <row r="99" spans="1:7">
      <c r="A99" s="47" t="s">
        <v>48</v>
      </c>
      <c r="B99" s="47" t="s">
        <v>100</v>
      </c>
      <c r="C99" s="47" t="s">
        <v>48</v>
      </c>
      <c r="D99" s="47" t="s">
        <v>339</v>
      </c>
      <c r="F99" s="47">
        <v>430200</v>
      </c>
      <c r="G99" s="47" t="s">
        <v>39</v>
      </c>
    </row>
    <row r="100" spans="1:7">
      <c r="A100" s="47" t="s">
        <v>40</v>
      </c>
      <c r="B100" s="47" t="s">
        <v>101</v>
      </c>
      <c r="C100" s="47" t="s">
        <v>335</v>
      </c>
      <c r="D100" s="47" t="s">
        <v>337</v>
      </c>
      <c r="F100" s="47">
        <v>430440</v>
      </c>
      <c r="G100" s="47" t="s">
        <v>39</v>
      </c>
    </row>
    <row r="101" spans="1:7">
      <c r="A101" s="47" t="s">
        <v>48</v>
      </c>
      <c r="B101" s="47" t="s">
        <v>102</v>
      </c>
      <c r="C101" s="47" t="s">
        <v>48</v>
      </c>
      <c r="D101" s="47" t="s">
        <v>339</v>
      </c>
      <c r="F101" s="47">
        <v>430200</v>
      </c>
      <c r="G101" s="47" t="s">
        <v>39</v>
      </c>
    </row>
    <row r="102" spans="1:7">
      <c r="A102" s="47" t="s">
        <v>48</v>
      </c>
      <c r="B102" s="47" t="s">
        <v>103</v>
      </c>
      <c r="C102" s="47" t="s">
        <v>48</v>
      </c>
      <c r="D102" s="47" t="s">
        <v>339</v>
      </c>
      <c r="F102" s="47">
        <v>430200</v>
      </c>
      <c r="G102" s="47" t="s">
        <v>39</v>
      </c>
    </row>
    <row r="103" spans="1:7">
      <c r="A103" s="47" t="s">
        <v>37</v>
      </c>
      <c r="B103" s="47" t="s">
        <v>104</v>
      </c>
      <c r="C103" s="47" t="s">
        <v>335</v>
      </c>
      <c r="D103" s="47" t="s">
        <v>336</v>
      </c>
      <c r="F103" s="49">
        <v>430430</v>
      </c>
      <c r="G103" s="47" t="s">
        <v>39</v>
      </c>
    </row>
    <row r="104" spans="1:7">
      <c r="A104" s="47" t="s">
        <v>50</v>
      </c>
      <c r="B104" s="47" t="s">
        <v>16</v>
      </c>
      <c r="C104" s="47" t="s">
        <v>50</v>
      </c>
      <c r="D104" s="47" t="s">
        <v>339</v>
      </c>
      <c r="F104" s="47">
        <v>430100</v>
      </c>
      <c r="G104" s="47" t="s">
        <v>39</v>
      </c>
    </row>
    <row r="105" spans="1:7">
      <c r="A105" s="47" t="s">
        <v>50</v>
      </c>
      <c r="B105" s="47" t="s">
        <v>105</v>
      </c>
      <c r="C105" s="47" t="s">
        <v>50</v>
      </c>
      <c r="D105" s="47" t="s">
        <v>339</v>
      </c>
      <c r="F105" s="47">
        <v>430100</v>
      </c>
      <c r="G105" s="47" t="s">
        <v>39</v>
      </c>
    </row>
    <row r="106" spans="1:7">
      <c r="A106" s="47" t="s">
        <v>37</v>
      </c>
      <c r="B106" s="47" t="s">
        <v>106</v>
      </c>
      <c r="C106" s="47" t="s">
        <v>335</v>
      </c>
      <c r="D106" s="47" t="s">
        <v>336</v>
      </c>
      <c r="F106" s="49">
        <v>430430</v>
      </c>
      <c r="G106" s="47" t="s">
        <v>39</v>
      </c>
    </row>
    <row r="107" spans="1:7">
      <c r="A107" s="47" t="s">
        <v>40</v>
      </c>
      <c r="B107" s="47" t="s">
        <v>107</v>
      </c>
      <c r="C107" s="47" t="s">
        <v>335</v>
      </c>
      <c r="D107" s="47" t="s">
        <v>337</v>
      </c>
      <c r="F107" s="47">
        <v>430440</v>
      </c>
      <c r="G107" s="47" t="s">
        <v>39</v>
      </c>
    </row>
    <row r="108" spans="1:7">
      <c r="A108" s="47" t="s">
        <v>40</v>
      </c>
      <c r="B108" s="47" t="s">
        <v>108</v>
      </c>
      <c r="C108" s="47" t="s">
        <v>335</v>
      </c>
      <c r="D108" s="47" t="s">
        <v>337</v>
      </c>
      <c r="F108" s="47">
        <v>430440</v>
      </c>
      <c r="G108" s="47" t="s">
        <v>39</v>
      </c>
    </row>
    <row r="109" spans="1:7">
      <c r="A109" s="47" t="s">
        <v>40</v>
      </c>
      <c r="B109" s="47" t="s">
        <v>109</v>
      </c>
      <c r="C109" s="47" t="s">
        <v>335</v>
      </c>
      <c r="D109" s="47" t="s">
        <v>337</v>
      </c>
      <c r="F109" s="47">
        <v>430440</v>
      </c>
      <c r="G109" s="47" t="s">
        <v>39</v>
      </c>
    </row>
    <row r="110" spans="1:7">
      <c r="A110" s="47" t="s">
        <v>45</v>
      </c>
      <c r="B110" s="47" t="s">
        <v>110</v>
      </c>
      <c r="C110" s="47" t="s">
        <v>335</v>
      </c>
      <c r="D110" s="47" t="s">
        <v>338</v>
      </c>
      <c r="F110" s="49">
        <v>430430</v>
      </c>
      <c r="G110" s="47" t="s">
        <v>39</v>
      </c>
    </row>
    <row r="111" spans="1:7">
      <c r="A111" s="47" t="s">
        <v>48</v>
      </c>
      <c r="B111" s="47" t="s">
        <v>17</v>
      </c>
      <c r="C111" s="47" t="s">
        <v>48</v>
      </c>
      <c r="D111" s="47" t="s">
        <v>339</v>
      </c>
      <c r="F111" s="47">
        <v>430200</v>
      </c>
      <c r="G111" s="47" t="s">
        <v>39</v>
      </c>
    </row>
    <row r="112" spans="1:7">
      <c r="A112" s="47" t="s">
        <v>50</v>
      </c>
      <c r="B112" s="47" t="s">
        <v>111</v>
      </c>
      <c r="C112" s="47" t="s">
        <v>50</v>
      </c>
      <c r="D112" s="47" t="s">
        <v>339</v>
      </c>
      <c r="F112" s="47">
        <v>430100</v>
      </c>
      <c r="G112" s="47" t="s">
        <v>39</v>
      </c>
    </row>
    <row r="113" spans="1:7">
      <c r="A113" s="47" t="s">
        <v>48</v>
      </c>
      <c r="B113" s="47" t="s">
        <v>18</v>
      </c>
      <c r="C113" s="47" t="s">
        <v>48</v>
      </c>
      <c r="D113" s="47" t="s">
        <v>339</v>
      </c>
      <c r="F113" s="47">
        <v>430200</v>
      </c>
      <c r="G113" s="47" t="s">
        <v>39</v>
      </c>
    </row>
    <row r="114" spans="1:7">
      <c r="A114" s="47" t="s">
        <v>50</v>
      </c>
      <c r="B114" s="47" t="s">
        <v>112</v>
      </c>
      <c r="C114" s="47" t="s">
        <v>50</v>
      </c>
      <c r="D114" s="47" t="s">
        <v>339</v>
      </c>
      <c r="F114" s="47">
        <v>430100</v>
      </c>
      <c r="G114" s="47" t="s">
        <v>39</v>
      </c>
    </row>
    <row r="115" spans="1:7">
      <c r="A115" s="47" t="s">
        <v>48</v>
      </c>
      <c r="B115" s="47" t="s">
        <v>113</v>
      </c>
      <c r="C115" s="47" t="s">
        <v>48</v>
      </c>
      <c r="D115" s="47" t="s">
        <v>339</v>
      </c>
      <c r="F115" s="47">
        <v>430200</v>
      </c>
      <c r="G115" s="47" t="s">
        <v>39</v>
      </c>
    </row>
    <row r="116" spans="1:7">
      <c r="A116" s="47" t="s">
        <v>48</v>
      </c>
      <c r="B116" s="47" t="s">
        <v>114</v>
      </c>
      <c r="C116" s="47" t="s">
        <v>48</v>
      </c>
      <c r="D116" s="47" t="s">
        <v>339</v>
      </c>
      <c r="F116" s="47">
        <v>430200</v>
      </c>
      <c r="G116" s="47" t="s">
        <v>39</v>
      </c>
    </row>
    <row r="117" spans="1:7">
      <c r="A117" s="47" t="s">
        <v>48</v>
      </c>
      <c r="B117" s="47" t="s">
        <v>115</v>
      </c>
      <c r="C117" s="47" t="s">
        <v>48</v>
      </c>
      <c r="D117" s="47" t="s">
        <v>339</v>
      </c>
      <c r="F117" s="47">
        <v>430200</v>
      </c>
      <c r="G117" s="47" t="s">
        <v>39</v>
      </c>
    </row>
    <row r="118" spans="1:7">
      <c r="A118" s="47" t="s">
        <v>40</v>
      </c>
      <c r="B118" s="47" t="s">
        <v>116</v>
      </c>
      <c r="C118" s="47" t="s">
        <v>335</v>
      </c>
      <c r="D118" s="47" t="s">
        <v>337</v>
      </c>
      <c r="F118" s="47">
        <v>430440</v>
      </c>
      <c r="G118" s="47" t="s">
        <v>39</v>
      </c>
    </row>
    <row r="119" spans="1:7">
      <c r="A119" s="47" t="s">
        <v>40</v>
      </c>
      <c r="B119" s="47" t="s">
        <v>117</v>
      </c>
      <c r="C119" s="47" t="s">
        <v>335</v>
      </c>
      <c r="D119" s="47" t="s">
        <v>337</v>
      </c>
      <c r="F119" s="47">
        <v>430440</v>
      </c>
      <c r="G119" s="47" t="s">
        <v>39</v>
      </c>
    </row>
    <row r="120" spans="1:7">
      <c r="A120" s="47" t="s">
        <v>40</v>
      </c>
      <c r="B120" s="47" t="s">
        <v>118</v>
      </c>
      <c r="C120" s="47" t="s">
        <v>335</v>
      </c>
      <c r="D120" s="47" t="s">
        <v>337</v>
      </c>
      <c r="F120" s="47">
        <v>430440</v>
      </c>
      <c r="G120" s="47" t="s">
        <v>39</v>
      </c>
    </row>
    <row r="121" spans="1:7">
      <c r="A121" s="47" t="s">
        <v>37</v>
      </c>
      <c r="B121" s="47" t="s">
        <v>119</v>
      </c>
      <c r="C121" s="47" t="s">
        <v>335</v>
      </c>
      <c r="D121" s="47" t="s">
        <v>336</v>
      </c>
      <c r="F121" s="49">
        <v>430430</v>
      </c>
      <c r="G121" s="47" t="s">
        <v>39</v>
      </c>
    </row>
    <row r="122" spans="1:7">
      <c r="A122" s="47" t="s">
        <v>40</v>
      </c>
      <c r="B122" s="47" t="s">
        <v>120</v>
      </c>
      <c r="C122" s="47" t="s">
        <v>335</v>
      </c>
      <c r="D122" s="47" t="s">
        <v>337</v>
      </c>
      <c r="F122" s="47">
        <v>430440</v>
      </c>
      <c r="G122" s="47" t="s">
        <v>39</v>
      </c>
    </row>
    <row r="123" spans="1:7">
      <c r="A123" s="47" t="s">
        <v>40</v>
      </c>
      <c r="B123" s="47" t="s">
        <v>121</v>
      </c>
      <c r="C123" s="47" t="s">
        <v>335</v>
      </c>
      <c r="D123" s="47" t="s">
        <v>337</v>
      </c>
      <c r="F123" s="47">
        <v>430440</v>
      </c>
      <c r="G123" s="47" t="s">
        <v>39</v>
      </c>
    </row>
    <row r="124" spans="1:7">
      <c r="A124" s="47" t="s">
        <v>45</v>
      </c>
      <c r="B124" s="47" t="s">
        <v>122</v>
      </c>
      <c r="C124" s="47" t="s">
        <v>335</v>
      </c>
      <c r="D124" s="47" t="s">
        <v>338</v>
      </c>
      <c r="F124" s="49">
        <v>430430</v>
      </c>
      <c r="G124" s="47" t="s">
        <v>39</v>
      </c>
    </row>
    <row r="125" spans="1:7">
      <c r="A125" s="47" t="s">
        <v>45</v>
      </c>
      <c r="B125" s="47" t="s">
        <v>123</v>
      </c>
      <c r="C125" s="47" t="s">
        <v>335</v>
      </c>
      <c r="D125" s="47" t="s">
        <v>338</v>
      </c>
      <c r="F125" s="49">
        <v>430430</v>
      </c>
      <c r="G125" s="47" t="s">
        <v>39</v>
      </c>
    </row>
    <row r="126" spans="1:7">
      <c r="A126" s="47" t="s">
        <v>48</v>
      </c>
      <c r="B126" s="47" t="s">
        <v>19</v>
      </c>
      <c r="C126" s="47" t="s">
        <v>48</v>
      </c>
      <c r="D126" s="47" t="s">
        <v>339</v>
      </c>
      <c r="F126" s="47">
        <v>430200</v>
      </c>
      <c r="G126" s="47" t="s">
        <v>39</v>
      </c>
    </row>
    <row r="127" spans="1:7">
      <c r="A127" s="47" t="s">
        <v>48</v>
      </c>
      <c r="B127" s="47" t="s">
        <v>124</v>
      </c>
      <c r="C127" s="47" t="s">
        <v>48</v>
      </c>
      <c r="D127" s="47" t="s">
        <v>339</v>
      </c>
      <c r="F127" s="47">
        <v>430200</v>
      </c>
      <c r="G127" s="47" t="s">
        <v>39</v>
      </c>
    </row>
    <row r="128" spans="1:7">
      <c r="A128" s="47" t="s">
        <v>40</v>
      </c>
      <c r="B128" s="47" t="s">
        <v>125</v>
      </c>
      <c r="C128" s="47" t="s">
        <v>335</v>
      </c>
      <c r="D128" s="47" t="s">
        <v>337</v>
      </c>
      <c r="F128" s="47">
        <v>430440</v>
      </c>
      <c r="G128" s="47" t="s">
        <v>39</v>
      </c>
    </row>
    <row r="129" spans="1:7">
      <c r="A129" s="47" t="s">
        <v>50</v>
      </c>
      <c r="B129" s="47" t="s">
        <v>126</v>
      </c>
      <c r="C129" s="47" t="s">
        <v>50</v>
      </c>
      <c r="D129" s="47" t="s">
        <v>339</v>
      </c>
      <c r="F129" s="47">
        <v>430100</v>
      </c>
      <c r="G129" s="47" t="s">
        <v>39</v>
      </c>
    </row>
    <row r="130" spans="1:7">
      <c r="A130" s="47" t="s">
        <v>50</v>
      </c>
      <c r="B130" s="47" t="s">
        <v>127</v>
      </c>
      <c r="C130" s="47" t="s">
        <v>50</v>
      </c>
      <c r="D130" s="47" t="s">
        <v>339</v>
      </c>
      <c r="F130" s="47">
        <v>430100</v>
      </c>
      <c r="G130" s="47" t="s">
        <v>39</v>
      </c>
    </row>
    <row r="131" spans="1:7">
      <c r="A131" s="47" t="s">
        <v>50</v>
      </c>
      <c r="B131" s="47" t="s">
        <v>128</v>
      </c>
      <c r="C131" s="47" t="s">
        <v>50</v>
      </c>
      <c r="D131" s="47" t="s">
        <v>339</v>
      </c>
      <c r="F131" s="47">
        <v>430100</v>
      </c>
      <c r="G131" s="47" t="s">
        <v>39</v>
      </c>
    </row>
    <row r="132" spans="1:7">
      <c r="A132" s="47" t="s">
        <v>37</v>
      </c>
      <c r="B132" s="47" t="s">
        <v>129</v>
      </c>
      <c r="C132" s="47" t="s">
        <v>335</v>
      </c>
      <c r="D132" s="47" t="s">
        <v>336</v>
      </c>
      <c r="F132" s="49">
        <v>430430</v>
      </c>
      <c r="G132" s="47" t="s">
        <v>39</v>
      </c>
    </row>
    <row r="133" spans="1:7">
      <c r="A133" s="47" t="s">
        <v>50</v>
      </c>
      <c r="B133" s="47" t="s">
        <v>130</v>
      </c>
      <c r="C133" s="47" t="s">
        <v>50</v>
      </c>
      <c r="D133" s="47" t="s">
        <v>339</v>
      </c>
      <c r="F133" s="47">
        <v>430100</v>
      </c>
      <c r="G133" s="47" t="s">
        <v>39</v>
      </c>
    </row>
    <row r="134" spans="1:7">
      <c r="A134" s="47" t="s">
        <v>40</v>
      </c>
      <c r="B134" s="47" t="s">
        <v>131</v>
      </c>
      <c r="C134" s="47" t="s">
        <v>335</v>
      </c>
      <c r="D134" s="47" t="s">
        <v>337</v>
      </c>
      <c r="F134" s="47">
        <v>430440</v>
      </c>
      <c r="G134" s="47" t="s">
        <v>39</v>
      </c>
    </row>
    <row r="135" spans="1:7">
      <c r="A135" s="47" t="s">
        <v>48</v>
      </c>
      <c r="B135" s="47" t="s">
        <v>132</v>
      </c>
      <c r="C135" s="47" t="s">
        <v>48</v>
      </c>
      <c r="D135" s="47" t="s">
        <v>339</v>
      </c>
      <c r="F135" s="47">
        <v>430200</v>
      </c>
      <c r="G135" s="47" t="s">
        <v>39</v>
      </c>
    </row>
    <row r="136" spans="1:7">
      <c r="A136" s="47" t="s">
        <v>50</v>
      </c>
      <c r="B136" s="47" t="s">
        <v>133</v>
      </c>
      <c r="C136" s="47" t="s">
        <v>50</v>
      </c>
      <c r="D136" s="47" t="s">
        <v>339</v>
      </c>
      <c r="F136" s="47">
        <v>430100</v>
      </c>
      <c r="G136" s="47" t="s">
        <v>39</v>
      </c>
    </row>
    <row r="137" spans="1:7">
      <c r="A137" s="47" t="s">
        <v>45</v>
      </c>
      <c r="B137" s="47" t="s">
        <v>134</v>
      </c>
      <c r="C137" s="47" t="s">
        <v>335</v>
      </c>
      <c r="D137" s="47" t="s">
        <v>338</v>
      </c>
      <c r="F137" s="49">
        <v>430430</v>
      </c>
      <c r="G137" s="47" t="s">
        <v>39</v>
      </c>
    </row>
    <row r="138" spans="1:7">
      <c r="A138" s="47" t="s">
        <v>40</v>
      </c>
      <c r="B138" s="47" t="s">
        <v>135</v>
      </c>
      <c r="C138" s="47" t="s">
        <v>335</v>
      </c>
      <c r="D138" s="47" t="s">
        <v>337</v>
      </c>
      <c r="F138" s="47">
        <v>430440</v>
      </c>
      <c r="G138" s="47" t="s">
        <v>39</v>
      </c>
    </row>
    <row r="139" spans="1:7">
      <c r="A139" s="47" t="s">
        <v>37</v>
      </c>
      <c r="B139" s="47" t="s">
        <v>136</v>
      </c>
      <c r="C139" s="47" t="s">
        <v>335</v>
      </c>
      <c r="D139" s="47" t="s">
        <v>336</v>
      </c>
      <c r="F139" s="49">
        <v>430430</v>
      </c>
      <c r="G139" s="47" t="s">
        <v>39</v>
      </c>
    </row>
    <row r="140" spans="1:7">
      <c r="A140" s="47" t="s">
        <v>48</v>
      </c>
      <c r="B140" s="47" t="s">
        <v>137</v>
      </c>
      <c r="C140" s="47" t="s">
        <v>48</v>
      </c>
      <c r="D140" s="47" t="s">
        <v>339</v>
      </c>
      <c r="F140" s="47">
        <v>430200</v>
      </c>
      <c r="G140" s="47" t="s">
        <v>39</v>
      </c>
    </row>
    <row r="141" spans="1:7">
      <c r="A141" s="47" t="s">
        <v>73</v>
      </c>
      <c r="B141" s="47" t="s">
        <v>138</v>
      </c>
      <c r="C141" s="47" t="s">
        <v>139</v>
      </c>
      <c r="D141" s="47" t="s">
        <v>139</v>
      </c>
      <c r="F141" s="47">
        <v>430852</v>
      </c>
      <c r="G141" s="47" t="s">
        <v>72</v>
      </c>
    </row>
    <row r="142" spans="1:7">
      <c r="A142" s="47" t="s">
        <v>71</v>
      </c>
      <c r="B142" s="47" t="s">
        <v>140</v>
      </c>
      <c r="C142" s="47" t="s">
        <v>139</v>
      </c>
      <c r="D142" s="47" t="s">
        <v>139</v>
      </c>
      <c r="F142" s="47">
        <v>430899</v>
      </c>
      <c r="G142" s="47" t="s">
        <v>77</v>
      </c>
    </row>
    <row r="143" spans="1:7">
      <c r="A143" s="47" t="s">
        <v>71</v>
      </c>
      <c r="B143" s="47" t="s">
        <v>141</v>
      </c>
      <c r="C143" s="47" t="s">
        <v>139</v>
      </c>
      <c r="D143" s="47" t="s">
        <v>139</v>
      </c>
      <c r="F143" s="47">
        <v>430899</v>
      </c>
      <c r="G143" s="47" t="s">
        <v>77</v>
      </c>
    </row>
    <row r="144" spans="1:7">
      <c r="A144" s="47" t="s">
        <v>71</v>
      </c>
      <c r="B144" s="47" t="s">
        <v>142</v>
      </c>
      <c r="C144" s="47" t="s">
        <v>75</v>
      </c>
      <c r="D144" s="47" t="s">
        <v>75</v>
      </c>
      <c r="F144" s="47">
        <v>430899</v>
      </c>
      <c r="G144" s="47" t="s">
        <v>77</v>
      </c>
    </row>
    <row r="145" spans="1:7">
      <c r="A145" s="47" t="s">
        <v>81</v>
      </c>
      <c r="B145" s="47" t="s">
        <v>143</v>
      </c>
      <c r="C145" s="47" t="s">
        <v>80</v>
      </c>
      <c r="D145" s="47" t="s">
        <v>80</v>
      </c>
      <c r="F145" s="47">
        <v>430880</v>
      </c>
      <c r="G145" s="47" t="s">
        <v>72</v>
      </c>
    </row>
    <row r="146" spans="1:7">
      <c r="A146" s="47" t="s">
        <v>81</v>
      </c>
      <c r="B146" s="47" t="s">
        <v>144</v>
      </c>
      <c r="C146" s="47" t="s">
        <v>80</v>
      </c>
      <c r="D146" s="47" t="s">
        <v>80</v>
      </c>
      <c r="F146" s="47">
        <v>430880</v>
      </c>
      <c r="G146" s="47" t="s">
        <v>72</v>
      </c>
    </row>
    <row r="147" spans="1:7">
      <c r="A147" s="47" t="s">
        <v>81</v>
      </c>
      <c r="B147" s="47" t="s">
        <v>145</v>
      </c>
      <c r="C147" s="47" t="s">
        <v>80</v>
      </c>
      <c r="D147" s="47" t="s">
        <v>80</v>
      </c>
      <c r="F147" s="47">
        <v>430880</v>
      </c>
      <c r="G147" s="47" t="s">
        <v>72</v>
      </c>
    </row>
    <row r="148" spans="1:7">
      <c r="A148" s="47" t="s">
        <v>73</v>
      </c>
      <c r="B148" s="47" t="s">
        <v>146</v>
      </c>
      <c r="C148" s="47" t="s">
        <v>139</v>
      </c>
      <c r="D148" s="47" t="s">
        <v>139</v>
      </c>
      <c r="F148" s="47">
        <v>430852</v>
      </c>
      <c r="G148" s="47" t="s">
        <v>72</v>
      </c>
    </row>
    <row r="149" spans="1:7">
      <c r="A149" s="47" t="s">
        <v>48</v>
      </c>
      <c r="B149" s="47" t="s">
        <v>147</v>
      </c>
      <c r="C149" s="47" t="s">
        <v>48</v>
      </c>
      <c r="D149" s="47" t="s">
        <v>339</v>
      </c>
      <c r="F149" s="47">
        <v>430200</v>
      </c>
      <c r="G149" s="47" t="s">
        <v>39</v>
      </c>
    </row>
    <row r="150" spans="1:7">
      <c r="A150" s="47" t="s">
        <v>50</v>
      </c>
      <c r="B150" s="47" t="s">
        <v>20</v>
      </c>
      <c r="C150" s="47" t="s">
        <v>50</v>
      </c>
      <c r="D150" s="47" t="s">
        <v>339</v>
      </c>
      <c r="F150" s="47">
        <v>430100</v>
      </c>
      <c r="G150" s="47" t="s">
        <v>39</v>
      </c>
    </row>
    <row r="151" spans="1:7">
      <c r="A151" s="47" t="s">
        <v>37</v>
      </c>
      <c r="B151" s="47" t="s">
        <v>148</v>
      </c>
      <c r="C151" s="47" t="s">
        <v>335</v>
      </c>
      <c r="D151" s="47" t="s">
        <v>336</v>
      </c>
      <c r="F151" s="49">
        <v>430430</v>
      </c>
      <c r="G151" s="47" t="s">
        <v>39</v>
      </c>
    </row>
    <row r="152" spans="1:7">
      <c r="A152" s="47" t="s">
        <v>37</v>
      </c>
      <c r="B152" s="47" t="s">
        <v>149</v>
      </c>
      <c r="C152" s="47" t="s">
        <v>335</v>
      </c>
      <c r="D152" s="47" t="s">
        <v>336</v>
      </c>
      <c r="F152" s="49">
        <v>430430</v>
      </c>
      <c r="G152" s="47" t="s">
        <v>39</v>
      </c>
    </row>
    <row r="153" spans="1:7">
      <c r="A153" s="47" t="s">
        <v>40</v>
      </c>
      <c r="B153" s="47" t="s">
        <v>150</v>
      </c>
      <c r="C153" s="47" t="s">
        <v>335</v>
      </c>
      <c r="D153" s="47" t="s">
        <v>337</v>
      </c>
      <c r="F153" s="47">
        <v>430440</v>
      </c>
      <c r="G153" s="47" t="s">
        <v>39</v>
      </c>
    </row>
    <row r="154" spans="1:7">
      <c r="A154" s="47" t="s">
        <v>40</v>
      </c>
      <c r="B154" s="47" t="s">
        <v>151</v>
      </c>
      <c r="C154" s="47" t="s">
        <v>335</v>
      </c>
      <c r="D154" s="47" t="s">
        <v>337</v>
      </c>
      <c r="F154" s="47">
        <v>430440</v>
      </c>
      <c r="G154" s="47" t="s">
        <v>39</v>
      </c>
    </row>
    <row r="155" spans="1:7">
      <c r="A155" s="47" t="s">
        <v>45</v>
      </c>
      <c r="B155" s="47" t="s">
        <v>152</v>
      </c>
      <c r="C155" s="47" t="s">
        <v>335</v>
      </c>
      <c r="D155" s="47" t="s">
        <v>338</v>
      </c>
      <c r="F155" s="49">
        <v>430430</v>
      </c>
      <c r="G155" s="47" t="s">
        <v>39</v>
      </c>
    </row>
    <row r="156" spans="1:7">
      <c r="A156" s="47" t="s">
        <v>40</v>
      </c>
      <c r="B156" s="47" t="s">
        <v>153</v>
      </c>
      <c r="C156" s="47" t="s">
        <v>335</v>
      </c>
      <c r="D156" s="47" t="s">
        <v>337</v>
      </c>
      <c r="F156" s="47">
        <v>430440</v>
      </c>
      <c r="G156" s="47" t="s">
        <v>39</v>
      </c>
    </row>
    <row r="157" spans="1:7">
      <c r="A157" s="47" t="s">
        <v>40</v>
      </c>
      <c r="B157" s="47" t="s">
        <v>154</v>
      </c>
      <c r="C157" s="47" t="s">
        <v>335</v>
      </c>
      <c r="D157" s="47" t="s">
        <v>337</v>
      </c>
      <c r="F157" s="47">
        <v>430440</v>
      </c>
      <c r="G157" s="47" t="s">
        <v>39</v>
      </c>
    </row>
    <row r="158" spans="1:7">
      <c r="A158" s="47" t="s">
        <v>40</v>
      </c>
      <c r="B158" s="47" t="s">
        <v>155</v>
      </c>
      <c r="C158" s="47" t="s">
        <v>335</v>
      </c>
      <c r="D158" s="47" t="s">
        <v>337</v>
      </c>
      <c r="F158" s="47">
        <v>430440</v>
      </c>
      <c r="G158" s="47" t="s">
        <v>39</v>
      </c>
    </row>
    <row r="159" spans="1:7">
      <c r="A159" s="47" t="s">
        <v>37</v>
      </c>
      <c r="B159" s="47" t="s">
        <v>156</v>
      </c>
      <c r="C159" s="47" t="s">
        <v>335</v>
      </c>
      <c r="D159" s="47" t="s">
        <v>336</v>
      </c>
      <c r="F159" s="49">
        <v>430430</v>
      </c>
      <c r="G159" s="47" t="s">
        <v>39</v>
      </c>
    </row>
    <row r="160" spans="1:7">
      <c r="A160" s="47" t="s">
        <v>40</v>
      </c>
      <c r="B160" s="47" t="s">
        <v>157</v>
      </c>
      <c r="C160" s="47" t="s">
        <v>335</v>
      </c>
      <c r="D160" s="47" t="s">
        <v>337</v>
      </c>
      <c r="F160" s="47">
        <v>430440</v>
      </c>
      <c r="G160" s="47" t="s">
        <v>39</v>
      </c>
    </row>
    <row r="161" spans="1:7">
      <c r="A161" s="47" t="s">
        <v>37</v>
      </c>
      <c r="B161" s="47" t="s">
        <v>158</v>
      </c>
      <c r="C161" s="47" t="s">
        <v>335</v>
      </c>
      <c r="D161" s="47" t="s">
        <v>336</v>
      </c>
      <c r="F161" s="49">
        <v>430430</v>
      </c>
      <c r="G161" s="47" t="s">
        <v>39</v>
      </c>
    </row>
    <row r="162" spans="1:7">
      <c r="A162" s="47" t="s">
        <v>37</v>
      </c>
      <c r="B162" s="47" t="s">
        <v>159</v>
      </c>
      <c r="C162" s="47" t="s">
        <v>335</v>
      </c>
      <c r="D162" s="47" t="s">
        <v>336</v>
      </c>
      <c r="F162" s="49">
        <v>430430</v>
      </c>
      <c r="G162" s="47" t="s">
        <v>39</v>
      </c>
    </row>
    <row r="163" spans="1:7">
      <c r="A163" s="47" t="s">
        <v>37</v>
      </c>
      <c r="B163" s="47" t="s">
        <v>160</v>
      </c>
      <c r="C163" s="47" t="s">
        <v>335</v>
      </c>
      <c r="D163" s="47" t="s">
        <v>336</v>
      </c>
      <c r="F163" s="49">
        <v>430430</v>
      </c>
      <c r="G163" s="47" t="s">
        <v>39</v>
      </c>
    </row>
    <row r="164" spans="1:7">
      <c r="A164" s="47" t="s">
        <v>40</v>
      </c>
      <c r="B164" s="47" t="s">
        <v>161</v>
      </c>
      <c r="C164" s="47" t="s">
        <v>335</v>
      </c>
      <c r="D164" s="47" t="s">
        <v>337</v>
      </c>
      <c r="F164" s="47">
        <v>430440</v>
      </c>
      <c r="G164" s="47" t="s">
        <v>39</v>
      </c>
    </row>
    <row r="165" spans="1:7">
      <c r="A165" s="47" t="s">
        <v>40</v>
      </c>
      <c r="B165" s="47" t="s">
        <v>162</v>
      </c>
      <c r="C165" s="47" t="s">
        <v>335</v>
      </c>
      <c r="D165" s="47" t="s">
        <v>337</v>
      </c>
      <c r="F165" s="47">
        <v>430440</v>
      </c>
      <c r="G165" s="47" t="s">
        <v>39</v>
      </c>
    </row>
    <row r="166" spans="1:7">
      <c r="A166" s="47" t="s">
        <v>37</v>
      </c>
      <c r="B166" s="47" t="s">
        <v>163</v>
      </c>
      <c r="C166" s="47" t="s">
        <v>335</v>
      </c>
      <c r="D166" s="47" t="s">
        <v>336</v>
      </c>
      <c r="F166" s="49">
        <v>430430</v>
      </c>
      <c r="G166" s="47" t="s">
        <v>39</v>
      </c>
    </row>
    <row r="167" spans="1:7">
      <c r="A167" s="47" t="s">
        <v>40</v>
      </c>
      <c r="B167" s="47" t="s">
        <v>164</v>
      </c>
      <c r="C167" s="47" t="s">
        <v>335</v>
      </c>
      <c r="D167" s="47" t="s">
        <v>337</v>
      </c>
      <c r="F167" s="47">
        <v>430440</v>
      </c>
      <c r="G167" s="47" t="s">
        <v>39</v>
      </c>
    </row>
    <row r="168" spans="1:7">
      <c r="A168" s="47" t="s">
        <v>45</v>
      </c>
      <c r="B168" s="47" t="s">
        <v>165</v>
      </c>
      <c r="C168" s="47" t="s">
        <v>335</v>
      </c>
      <c r="D168" s="47" t="s">
        <v>338</v>
      </c>
      <c r="F168" s="49">
        <v>430430</v>
      </c>
      <c r="G168" s="47" t="s">
        <v>39</v>
      </c>
    </row>
    <row r="169" spans="1:7">
      <c r="A169" s="47" t="s">
        <v>45</v>
      </c>
      <c r="B169" s="47" t="s">
        <v>166</v>
      </c>
      <c r="C169" s="47" t="s">
        <v>335</v>
      </c>
      <c r="D169" s="47" t="s">
        <v>338</v>
      </c>
      <c r="F169" s="49">
        <v>430430</v>
      </c>
      <c r="G169" s="47" t="s">
        <v>39</v>
      </c>
    </row>
    <row r="170" spans="1:7">
      <c r="A170" s="47" t="s">
        <v>45</v>
      </c>
      <c r="B170" s="47" t="s">
        <v>167</v>
      </c>
      <c r="C170" s="47" t="s">
        <v>335</v>
      </c>
      <c r="D170" s="47" t="s">
        <v>338</v>
      </c>
      <c r="F170" s="49">
        <v>430430</v>
      </c>
      <c r="G170" s="47" t="s">
        <v>39</v>
      </c>
    </row>
    <row r="171" spans="1:7">
      <c r="A171" s="47" t="s">
        <v>45</v>
      </c>
      <c r="B171" s="47" t="s">
        <v>168</v>
      </c>
      <c r="C171" s="47" t="s">
        <v>335</v>
      </c>
      <c r="D171" s="47" t="s">
        <v>338</v>
      </c>
      <c r="F171" s="49">
        <v>430430</v>
      </c>
      <c r="G171" s="47" t="s">
        <v>39</v>
      </c>
    </row>
    <row r="172" spans="1:7">
      <c r="A172" s="47" t="s">
        <v>45</v>
      </c>
      <c r="B172" s="47" t="s">
        <v>169</v>
      </c>
      <c r="C172" s="47" t="s">
        <v>335</v>
      </c>
      <c r="D172" s="47" t="s">
        <v>338</v>
      </c>
      <c r="F172" s="49">
        <v>430430</v>
      </c>
      <c r="G172" s="47" t="s">
        <v>39</v>
      </c>
    </row>
    <row r="173" spans="1:7">
      <c r="A173" s="47" t="s">
        <v>37</v>
      </c>
      <c r="B173" s="47" t="s">
        <v>170</v>
      </c>
      <c r="C173" s="47" t="s">
        <v>335</v>
      </c>
      <c r="D173" s="47" t="s">
        <v>336</v>
      </c>
      <c r="F173" s="49">
        <v>430430</v>
      </c>
      <c r="G173" s="47" t="s">
        <v>39</v>
      </c>
    </row>
    <row r="174" spans="1:7">
      <c r="A174" s="47" t="s">
        <v>45</v>
      </c>
      <c r="B174" s="47" t="s">
        <v>171</v>
      </c>
      <c r="C174" s="47" t="s">
        <v>335</v>
      </c>
      <c r="D174" s="47" t="s">
        <v>338</v>
      </c>
      <c r="F174" s="49">
        <v>430430</v>
      </c>
      <c r="G174" s="47" t="s">
        <v>39</v>
      </c>
    </row>
    <row r="175" spans="1:7">
      <c r="A175" s="47" t="s">
        <v>40</v>
      </c>
      <c r="B175" s="47" t="s">
        <v>172</v>
      </c>
      <c r="C175" s="47" t="s">
        <v>335</v>
      </c>
      <c r="D175" s="47" t="s">
        <v>337</v>
      </c>
      <c r="F175" s="47">
        <v>430440</v>
      </c>
      <c r="G175" s="47" t="s">
        <v>39</v>
      </c>
    </row>
    <row r="176" spans="1:7">
      <c r="A176" s="47" t="s">
        <v>40</v>
      </c>
      <c r="B176" s="47" t="s">
        <v>173</v>
      </c>
      <c r="C176" s="47" t="s">
        <v>335</v>
      </c>
      <c r="D176" s="47" t="s">
        <v>337</v>
      </c>
      <c r="F176" s="47">
        <v>430440</v>
      </c>
      <c r="G176" s="47" t="s">
        <v>39</v>
      </c>
    </row>
    <row r="177" spans="1:7">
      <c r="A177" s="47" t="s">
        <v>40</v>
      </c>
      <c r="B177" s="47" t="s">
        <v>174</v>
      </c>
      <c r="C177" s="47" t="s">
        <v>335</v>
      </c>
      <c r="D177" s="47" t="s">
        <v>337</v>
      </c>
      <c r="F177" s="47">
        <v>430440</v>
      </c>
      <c r="G177" s="47" t="s">
        <v>39</v>
      </c>
    </row>
    <row r="178" spans="1:7">
      <c r="A178" s="47" t="s">
        <v>40</v>
      </c>
      <c r="B178" s="47" t="s">
        <v>175</v>
      </c>
      <c r="C178" s="47" t="s">
        <v>335</v>
      </c>
      <c r="D178" s="47" t="s">
        <v>337</v>
      </c>
      <c r="F178" s="47">
        <v>430440</v>
      </c>
      <c r="G178" s="47" t="s">
        <v>39</v>
      </c>
    </row>
    <row r="179" spans="1:7">
      <c r="A179" s="47" t="s">
        <v>37</v>
      </c>
      <c r="B179" s="47" t="s">
        <v>176</v>
      </c>
      <c r="C179" s="47" t="s">
        <v>335</v>
      </c>
      <c r="D179" s="47" t="s">
        <v>336</v>
      </c>
      <c r="F179" s="49">
        <v>430430</v>
      </c>
      <c r="G179" s="47" t="s">
        <v>39</v>
      </c>
    </row>
    <row r="180" spans="1:7">
      <c r="A180" s="47" t="s">
        <v>40</v>
      </c>
      <c r="B180" s="47" t="s">
        <v>177</v>
      </c>
      <c r="C180" s="47" t="s">
        <v>335</v>
      </c>
      <c r="D180" s="47" t="s">
        <v>337</v>
      </c>
      <c r="F180" s="47">
        <v>430440</v>
      </c>
      <c r="G180" s="47" t="s">
        <v>39</v>
      </c>
    </row>
    <row r="181" spans="1:7">
      <c r="A181" s="47" t="s">
        <v>45</v>
      </c>
      <c r="B181" s="47" t="s">
        <v>178</v>
      </c>
      <c r="C181" s="47" t="s">
        <v>335</v>
      </c>
      <c r="D181" s="47" t="s">
        <v>338</v>
      </c>
      <c r="F181" s="49">
        <v>430430</v>
      </c>
      <c r="G181" s="47" t="s">
        <v>39</v>
      </c>
    </row>
    <row r="182" spans="1:7">
      <c r="A182" s="47" t="s">
        <v>45</v>
      </c>
      <c r="B182" s="47" t="s">
        <v>179</v>
      </c>
      <c r="C182" s="47" t="s">
        <v>335</v>
      </c>
      <c r="D182" s="47" t="s">
        <v>338</v>
      </c>
      <c r="F182" s="49">
        <v>430430</v>
      </c>
      <c r="G182" s="47" t="s">
        <v>39</v>
      </c>
    </row>
    <row r="183" spans="1:7">
      <c r="A183" s="47" t="s">
        <v>40</v>
      </c>
      <c r="B183" s="47" t="s">
        <v>180</v>
      </c>
      <c r="C183" s="47" t="s">
        <v>335</v>
      </c>
      <c r="D183" s="47" t="s">
        <v>337</v>
      </c>
      <c r="F183" s="47">
        <v>430440</v>
      </c>
      <c r="G183" s="47" t="s">
        <v>39</v>
      </c>
    </row>
    <row r="184" spans="1:7">
      <c r="A184" s="47" t="s">
        <v>50</v>
      </c>
      <c r="B184" s="47" t="s">
        <v>21</v>
      </c>
      <c r="C184" s="47" t="s">
        <v>50</v>
      </c>
      <c r="D184" s="47" t="s">
        <v>339</v>
      </c>
      <c r="F184" s="47">
        <v>430100</v>
      </c>
      <c r="G184" s="47" t="s">
        <v>39</v>
      </c>
    </row>
    <row r="185" spans="1:7">
      <c r="A185" s="47" t="s">
        <v>48</v>
      </c>
      <c r="B185" s="47" t="s">
        <v>22</v>
      </c>
      <c r="C185" s="47" t="s">
        <v>48</v>
      </c>
      <c r="D185" s="47" t="s">
        <v>339</v>
      </c>
      <c r="F185" s="47">
        <v>430200</v>
      </c>
      <c r="G185" s="47" t="s">
        <v>39</v>
      </c>
    </row>
    <row r="186" spans="1:7">
      <c r="A186" s="47" t="s">
        <v>50</v>
      </c>
      <c r="B186" s="47" t="s">
        <v>23</v>
      </c>
      <c r="C186" s="47" t="s">
        <v>50</v>
      </c>
      <c r="D186" s="47" t="s">
        <v>339</v>
      </c>
      <c r="F186" s="47">
        <v>430100</v>
      </c>
      <c r="G186" s="47" t="s">
        <v>39</v>
      </c>
    </row>
    <row r="187" spans="1:7">
      <c r="A187" s="47" t="s">
        <v>50</v>
      </c>
      <c r="B187" s="47" t="s">
        <v>24</v>
      </c>
      <c r="C187" s="47" t="s">
        <v>50</v>
      </c>
      <c r="D187" s="47" t="s">
        <v>339</v>
      </c>
      <c r="F187" s="47">
        <v>430100</v>
      </c>
      <c r="G187" s="47" t="s">
        <v>39</v>
      </c>
    </row>
    <row r="188" spans="1:7">
      <c r="A188" s="47" t="s">
        <v>48</v>
      </c>
      <c r="B188" s="47" t="s">
        <v>25</v>
      </c>
      <c r="C188" s="47" t="s">
        <v>48</v>
      </c>
      <c r="D188" s="47" t="s">
        <v>339</v>
      </c>
      <c r="F188" s="47">
        <v>430200</v>
      </c>
      <c r="G188" s="47" t="s">
        <v>39</v>
      </c>
    </row>
    <row r="189" spans="1:7">
      <c r="A189" s="47" t="s">
        <v>50</v>
      </c>
      <c r="B189" s="47" t="s">
        <v>26</v>
      </c>
      <c r="C189" s="47" t="s">
        <v>50</v>
      </c>
      <c r="D189" s="47" t="s">
        <v>339</v>
      </c>
      <c r="F189" s="47">
        <v>430100</v>
      </c>
      <c r="G189" s="47" t="s">
        <v>39</v>
      </c>
    </row>
    <row r="190" spans="1:7">
      <c r="A190" s="47" t="s">
        <v>48</v>
      </c>
      <c r="B190" s="47" t="s">
        <v>27</v>
      </c>
      <c r="C190" s="47" t="s">
        <v>48</v>
      </c>
      <c r="D190" s="47" t="s">
        <v>339</v>
      </c>
      <c r="F190" s="47">
        <v>430200</v>
      </c>
      <c r="G190" s="47" t="s">
        <v>39</v>
      </c>
    </row>
    <row r="191" spans="1:7">
      <c r="A191" s="47" t="s">
        <v>50</v>
      </c>
      <c r="B191" s="47" t="s">
        <v>28</v>
      </c>
      <c r="C191" s="47" t="s">
        <v>50</v>
      </c>
      <c r="D191" s="47" t="s">
        <v>339</v>
      </c>
      <c r="F191" s="47">
        <v>430100</v>
      </c>
      <c r="G191" s="47" t="s">
        <v>39</v>
      </c>
    </row>
    <row r="192" spans="1:7">
      <c r="A192" s="47" t="s">
        <v>50</v>
      </c>
      <c r="B192" s="47" t="s">
        <v>29</v>
      </c>
      <c r="C192" s="47" t="s">
        <v>50</v>
      </c>
      <c r="D192" s="47" t="s">
        <v>339</v>
      </c>
      <c r="F192" s="47">
        <v>430100</v>
      </c>
      <c r="G192" s="47" t="s">
        <v>39</v>
      </c>
    </row>
    <row r="193" spans="1:7">
      <c r="A193" s="47" t="s">
        <v>50</v>
      </c>
      <c r="B193" s="47" t="s">
        <v>30</v>
      </c>
      <c r="C193" s="47" t="s">
        <v>50</v>
      </c>
      <c r="D193" s="47" t="s">
        <v>339</v>
      </c>
      <c r="F193" s="47">
        <v>430100</v>
      </c>
      <c r="G193" s="47" t="s">
        <v>39</v>
      </c>
    </row>
    <row r="194" spans="1:7">
      <c r="A194" s="47" t="s">
        <v>48</v>
      </c>
      <c r="B194" s="47" t="s">
        <v>31</v>
      </c>
      <c r="C194" s="47" t="s">
        <v>48</v>
      </c>
      <c r="D194" s="47" t="s">
        <v>339</v>
      </c>
      <c r="F194" s="47">
        <v>430200</v>
      </c>
      <c r="G194" s="47" t="s">
        <v>39</v>
      </c>
    </row>
    <row r="195" spans="1:7">
      <c r="A195" s="47" t="s">
        <v>37</v>
      </c>
      <c r="B195" s="47" t="s">
        <v>181</v>
      </c>
      <c r="C195" s="47" t="s">
        <v>335</v>
      </c>
      <c r="D195" s="47" t="s">
        <v>336</v>
      </c>
      <c r="F195" s="49">
        <v>430430</v>
      </c>
      <c r="G195" s="47" t="s">
        <v>39</v>
      </c>
    </row>
    <row r="196" spans="1:7">
      <c r="A196" s="47" t="s">
        <v>45</v>
      </c>
      <c r="B196" s="47" t="s">
        <v>182</v>
      </c>
      <c r="C196" s="47" t="s">
        <v>335</v>
      </c>
      <c r="D196" s="47" t="s">
        <v>338</v>
      </c>
      <c r="F196" s="49">
        <v>430430</v>
      </c>
      <c r="G196" s="47" t="s">
        <v>39</v>
      </c>
    </row>
    <row r="197" spans="1:7">
      <c r="A197" s="47" t="s">
        <v>40</v>
      </c>
      <c r="B197" s="47" t="s">
        <v>183</v>
      </c>
      <c r="C197" s="47" t="s">
        <v>335</v>
      </c>
      <c r="D197" s="47" t="s">
        <v>337</v>
      </c>
      <c r="F197" s="47">
        <v>430440</v>
      </c>
      <c r="G197" s="47" t="s">
        <v>39</v>
      </c>
    </row>
    <row r="198" spans="1:7">
      <c r="A198" s="47" t="s">
        <v>40</v>
      </c>
      <c r="B198" s="47" t="s">
        <v>184</v>
      </c>
      <c r="C198" s="47" t="s">
        <v>335</v>
      </c>
      <c r="D198" s="47" t="s">
        <v>337</v>
      </c>
      <c r="F198" s="47">
        <v>430440</v>
      </c>
      <c r="G198" s="47" t="s">
        <v>39</v>
      </c>
    </row>
    <row r="199" spans="1:7">
      <c r="A199" s="47" t="s">
        <v>48</v>
      </c>
      <c r="B199" s="47" t="s">
        <v>185</v>
      </c>
      <c r="C199" s="47" t="s">
        <v>48</v>
      </c>
      <c r="D199" s="47" t="s">
        <v>339</v>
      </c>
      <c r="F199" s="47">
        <v>430200</v>
      </c>
      <c r="G199" s="47" t="s">
        <v>39</v>
      </c>
    </row>
    <row r="200" spans="1:7">
      <c r="A200" s="47" t="s">
        <v>50</v>
      </c>
      <c r="B200" s="47" t="s">
        <v>32</v>
      </c>
      <c r="C200" s="47" t="s">
        <v>50</v>
      </c>
      <c r="D200" s="47" t="s">
        <v>339</v>
      </c>
      <c r="F200" s="47">
        <v>430100</v>
      </c>
      <c r="G200" s="47" t="s">
        <v>39</v>
      </c>
    </row>
    <row r="201" spans="1:7">
      <c r="A201" s="47" t="s">
        <v>37</v>
      </c>
      <c r="B201" s="47" t="s">
        <v>186</v>
      </c>
      <c r="C201" s="47" t="s">
        <v>335</v>
      </c>
      <c r="D201" s="47" t="s">
        <v>336</v>
      </c>
      <c r="F201" s="49">
        <v>430430</v>
      </c>
      <c r="G201" s="47" t="s">
        <v>39</v>
      </c>
    </row>
    <row r="202" spans="1:7">
      <c r="A202" s="47" t="s">
        <v>40</v>
      </c>
      <c r="B202" s="47" t="s">
        <v>187</v>
      </c>
      <c r="C202" s="47" t="s">
        <v>335</v>
      </c>
      <c r="D202" s="47" t="s">
        <v>337</v>
      </c>
      <c r="F202" s="47">
        <v>430440</v>
      </c>
      <c r="G202" s="47" t="s">
        <v>39</v>
      </c>
    </row>
    <row r="203" spans="1:7">
      <c r="A203" s="47" t="s">
        <v>37</v>
      </c>
      <c r="B203" s="47" t="s">
        <v>188</v>
      </c>
      <c r="C203" s="47" t="s">
        <v>335</v>
      </c>
      <c r="D203" s="47" t="s">
        <v>336</v>
      </c>
      <c r="F203" s="49">
        <v>430430</v>
      </c>
      <c r="G203" s="47" t="s">
        <v>39</v>
      </c>
    </row>
    <row r="204" spans="1:7">
      <c r="A204" s="47" t="s">
        <v>40</v>
      </c>
      <c r="B204" s="47" t="s">
        <v>189</v>
      </c>
      <c r="C204" s="47" t="s">
        <v>335</v>
      </c>
      <c r="D204" s="47" t="s">
        <v>337</v>
      </c>
      <c r="F204" s="47">
        <v>430440</v>
      </c>
      <c r="G204" s="47" t="s">
        <v>39</v>
      </c>
    </row>
    <row r="205" spans="1:7">
      <c r="A205" s="47" t="s">
        <v>40</v>
      </c>
      <c r="B205" s="47" t="s">
        <v>190</v>
      </c>
      <c r="C205" s="47" t="s">
        <v>335</v>
      </c>
      <c r="D205" s="47" t="s">
        <v>337</v>
      </c>
      <c r="F205" s="47">
        <v>430440</v>
      </c>
      <c r="G205" s="47" t="s">
        <v>39</v>
      </c>
    </row>
    <row r="206" spans="1:7">
      <c r="A206" s="47" t="s">
        <v>40</v>
      </c>
      <c r="B206" s="47" t="s">
        <v>191</v>
      </c>
      <c r="C206" s="47" t="s">
        <v>335</v>
      </c>
      <c r="D206" s="47" t="s">
        <v>337</v>
      </c>
      <c r="F206" s="47">
        <v>430440</v>
      </c>
      <c r="G206" s="47" t="s">
        <v>39</v>
      </c>
    </row>
    <row r="207" spans="1:7">
      <c r="A207" s="47" t="s">
        <v>45</v>
      </c>
      <c r="B207" s="47" t="s">
        <v>192</v>
      </c>
      <c r="C207" s="47" t="s">
        <v>335</v>
      </c>
      <c r="D207" s="47" t="s">
        <v>338</v>
      </c>
      <c r="F207" s="49">
        <v>430430</v>
      </c>
      <c r="G207" s="47" t="s">
        <v>39</v>
      </c>
    </row>
    <row r="208" spans="1:7">
      <c r="A208" s="47" t="s">
        <v>37</v>
      </c>
      <c r="B208" s="47" t="s">
        <v>193</v>
      </c>
      <c r="C208" s="47" t="s">
        <v>335</v>
      </c>
      <c r="D208" s="47" t="s">
        <v>336</v>
      </c>
      <c r="F208" s="49">
        <v>430430</v>
      </c>
      <c r="G208" s="47" t="s">
        <v>39</v>
      </c>
    </row>
    <row r="209" spans="1:7">
      <c r="A209" s="47" t="s">
        <v>40</v>
      </c>
      <c r="B209" s="47" t="s">
        <v>334</v>
      </c>
      <c r="C209" s="47" t="s">
        <v>335</v>
      </c>
      <c r="D209" s="47" t="s">
        <v>337</v>
      </c>
      <c r="F209" s="47">
        <v>430440</v>
      </c>
      <c r="G209" s="47" t="s">
        <v>39</v>
      </c>
    </row>
  </sheetData>
  <autoFilter ref="A1:G209" xr:uid="{CB87C79E-575D-4998-9927-E5CCCC9CBE25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EF71E-1389-42CF-AB86-4FAFE8D63B67}">
  <sheetPr codeName="shSablon"/>
  <dimension ref="A1:AY45"/>
  <sheetViews>
    <sheetView tabSelected="1" topLeftCell="A5" zoomScale="80" zoomScaleNormal="80" workbookViewId="0">
      <selection activeCell="C5" sqref="C5:C41"/>
    </sheetView>
  </sheetViews>
  <sheetFormatPr defaultRowHeight="13.8"/>
  <cols>
    <col min="1" max="1" width="7.8984375" bestFit="1" customWidth="1"/>
    <col min="2" max="2" width="8.69921875" bestFit="1" customWidth="1"/>
    <col min="3" max="3" width="18" style="16" bestFit="1" customWidth="1"/>
    <col min="4" max="4" width="9.8984375" bestFit="1" customWidth="1"/>
    <col min="5" max="5" width="18" style="16" bestFit="1" customWidth="1"/>
    <col min="6" max="6" width="18" style="16" customWidth="1"/>
    <col min="7" max="7" width="18" style="16" bestFit="1" customWidth="1"/>
    <col min="8" max="8" width="8.3984375" bestFit="1" customWidth="1"/>
    <col min="9" max="9" width="14.69921875" bestFit="1" customWidth="1"/>
    <col min="10" max="10" width="6.8984375" bestFit="1" customWidth="1"/>
    <col min="11" max="11" width="20" bestFit="1" customWidth="1"/>
    <col min="12" max="12" width="6.8984375" bestFit="1" customWidth="1"/>
    <col min="13" max="13" width="8.8984375" bestFit="1" customWidth="1"/>
    <col min="14" max="14" width="8.59765625" bestFit="1" customWidth="1"/>
    <col min="15" max="15" width="8.3984375" bestFit="1" customWidth="1"/>
    <col min="16" max="16" width="8.09765625" bestFit="1" customWidth="1"/>
    <col min="17" max="17" width="26.796875" bestFit="1" customWidth="1"/>
    <col min="18" max="18" width="19.69921875" bestFit="1" customWidth="1"/>
    <col min="19" max="19" width="28.59765625" bestFit="1" customWidth="1"/>
    <col min="20" max="21" width="9.59765625" bestFit="1" customWidth="1"/>
    <col min="22" max="22" width="9" bestFit="1" customWidth="1"/>
    <col min="23" max="24" width="8.8984375" bestFit="1" customWidth="1"/>
    <col min="25" max="25" width="8.69921875" bestFit="1" customWidth="1"/>
    <col min="26" max="26" width="9.8984375" bestFit="1" customWidth="1"/>
    <col min="27" max="27" width="6.8984375" bestFit="1" customWidth="1"/>
    <col min="28" max="28" width="9.8984375" bestFit="1" customWidth="1"/>
    <col min="29" max="29" width="6.8984375" bestFit="1" customWidth="1"/>
    <col min="30" max="30" width="9.69921875" bestFit="1" customWidth="1"/>
    <col min="31" max="32" width="6.8984375" bestFit="1" customWidth="1"/>
    <col min="33" max="33" width="13.59765625" bestFit="1" customWidth="1"/>
    <col min="34" max="34" width="13.3984375" bestFit="1" customWidth="1"/>
    <col min="35" max="35" width="13.19921875" bestFit="1" customWidth="1"/>
    <col min="36" max="36" width="10.09765625" bestFit="1" customWidth="1"/>
    <col min="37" max="37" width="9.59765625" bestFit="1" customWidth="1"/>
    <col min="38" max="38" width="8.296875" bestFit="1" customWidth="1"/>
    <col min="39" max="39" width="10.59765625" bestFit="1" customWidth="1"/>
    <col min="40" max="40" width="8.69921875" bestFit="1" customWidth="1"/>
    <col min="41" max="41" width="9" bestFit="1" customWidth="1"/>
    <col min="42" max="42" width="10.59765625" bestFit="1" customWidth="1"/>
    <col min="43" max="43" width="8.69921875" bestFit="1" customWidth="1"/>
    <col min="44" max="44" width="7.8984375" bestFit="1" customWidth="1"/>
    <col min="45" max="45" width="8.8984375" bestFit="1" customWidth="1"/>
    <col min="47" max="48" width="8.59765625" bestFit="1" customWidth="1"/>
    <col min="50" max="50" width="8.59765625" bestFit="1" customWidth="1"/>
    <col min="51" max="51" width="9" bestFit="1" customWidth="1"/>
  </cols>
  <sheetData>
    <row r="1" spans="1:51">
      <c r="A1" s="6" t="s">
        <v>195</v>
      </c>
      <c r="B1" s="6" t="s">
        <v>195</v>
      </c>
      <c r="C1" s="3" t="s">
        <v>196</v>
      </c>
      <c r="D1" s="3" t="s">
        <v>196</v>
      </c>
      <c r="E1" s="3" t="s">
        <v>196</v>
      </c>
      <c r="F1" s="3" t="s">
        <v>196</v>
      </c>
      <c r="G1" s="3" t="s">
        <v>196</v>
      </c>
      <c r="H1" s="6" t="s">
        <v>195</v>
      </c>
      <c r="I1" s="21" t="s">
        <v>195</v>
      </c>
      <c r="J1" s="6" t="s">
        <v>195</v>
      </c>
      <c r="K1" s="6" t="s">
        <v>195</v>
      </c>
      <c r="L1" s="6" t="s">
        <v>195</v>
      </c>
      <c r="M1" s="6" t="s">
        <v>195</v>
      </c>
      <c r="N1" s="6" t="s">
        <v>195</v>
      </c>
      <c r="O1" s="6" t="s">
        <v>195</v>
      </c>
      <c r="P1" s="6" t="s">
        <v>195</v>
      </c>
      <c r="Q1" s="6" t="s">
        <v>195</v>
      </c>
      <c r="R1" s="6" t="s">
        <v>195</v>
      </c>
      <c r="S1" s="6" t="s">
        <v>195</v>
      </c>
      <c r="T1" s="6" t="s">
        <v>195</v>
      </c>
      <c r="U1" s="6" t="s">
        <v>195</v>
      </c>
      <c r="V1" s="6" t="s">
        <v>195</v>
      </c>
      <c r="W1" s="6" t="s">
        <v>195</v>
      </c>
      <c r="X1" s="6" t="s">
        <v>195</v>
      </c>
      <c r="Y1" s="8" t="s">
        <v>197</v>
      </c>
      <c r="Z1" s="6" t="s">
        <v>195</v>
      </c>
      <c r="AA1" s="6" t="s">
        <v>195</v>
      </c>
      <c r="AB1" s="6" t="s">
        <v>195</v>
      </c>
      <c r="AC1" s="6" t="s">
        <v>195</v>
      </c>
      <c r="AD1" s="6" t="s">
        <v>195</v>
      </c>
      <c r="AE1" s="6" t="s">
        <v>195</v>
      </c>
      <c r="AF1" s="6" t="s">
        <v>195</v>
      </c>
      <c r="AG1" s="6" t="s">
        <v>195</v>
      </c>
      <c r="AH1" s="4" t="s">
        <v>197</v>
      </c>
      <c r="AI1" s="4" t="s">
        <v>197</v>
      </c>
      <c r="AJ1" s="4" t="s">
        <v>197</v>
      </c>
      <c r="AK1" s="4" t="s">
        <v>197</v>
      </c>
      <c r="AL1" s="6" t="s">
        <v>195</v>
      </c>
      <c r="AM1" s="5" t="s">
        <v>197</v>
      </c>
      <c r="AN1" s="6" t="s">
        <v>195</v>
      </c>
      <c r="AO1" s="6" t="s">
        <v>195</v>
      </c>
      <c r="AP1" s="6" t="s">
        <v>195</v>
      </c>
      <c r="AQ1" s="6" t="s">
        <v>195</v>
      </c>
      <c r="AR1" s="6" t="s">
        <v>195</v>
      </c>
      <c r="AS1" s="13" t="s">
        <v>197</v>
      </c>
      <c r="AT1" s="6" t="s">
        <v>195</v>
      </c>
      <c r="AU1" s="6" t="s">
        <v>195</v>
      </c>
      <c r="AV1" s="4" t="s">
        <v>197</v>
      </c>
      <c r="AW1" s="6" t="s">
        <v>195</v>
      </c>
      <c r="AX1" s="6" t="s">
        <v>195</v>
      </c>
      <c r="AY1" s="3" t="s">
        <v>196</v>
      </c>
    </row>
    <row r="2" spans="1:51">
      <c r="A2" s="6" t="s">
        <v>198</v>
      </c>
      <c r="B2" s="6" t="s">
        <v>199</v>
      </c>
      <c r="C2" s="3" t="s">
        <v>200</v>
      </c>
      <c r="D2" s="3" t="s">
        <v>200</v>
      </c>
      <c r="E2" s="3" t="s">
        <v>200</v>
      </c>
      <c r="F2" s="3" t="s">
        <v>200</v>
      </c>
      <c r="G2" s="3" t="s">
        <v>200</v>
      </c>
      <c r="H2" s="6" t="s">
        <v>201</v>
      </c>
      <c r="I2" s="21" t="s">
        <v>201</v>
      </c>
      <c r="J2" s="6" t="s">
        <v>199</v>
      </c>
      <c r="K2" s="6" t="s">
        <v>202</v>
      </c>
      <c r="L2" s="6" t="s">
        <v>199</v>
      </c>
      <c r="M2" s="6" t="s">
        <v>203</v>
      </c>
      <c r="N2" s="6" t="s">
        <v>204</v>
      </c>
      <c r="O2" s="6" t="s">
        <v>205</v>
      </c>
      <c r="P2" s="6" t="s">
        <v>206</v>
      </c>
      <c r="Q2" s="6" t="s">
        <v>207</v>
      </c>
      <c r="R2" s="6" t="s">
        <v>204</v>
      </c>
      <c r="S2" s="6" t="s">
        <v>208</v>
      </c>
      <c r="T2" s="6" t="s">
        <v>199</v>
      </c>
      <c r="U2" s="6" t="s">
        <v>199</v>
      </c>
      <c r="V2" s="6" t="s">
        <v>199</v>
      </c>
      <c r="W2" s="6" t="s">
        <v>209</v>
      </c>
      <c r="X2" s="6" t="s">
        <v>209</v>
      </c>
      <c r="Y2" s="8" t="s">
        <v>210</v>
      </c>
      <c r="Z2" s="6" t="s">
        <v>199</v>
      </c>
      <c r="AA2" s="6" t="s">
        <v>211</v>
      </c>
      <c r="AB2" s="6" t="s">
        <v>199</v>
      </c>
      <c r="AC2" s="6" t="s">
        <v>211</v>
      </c>
      <c r="AD2" s="6" t="s">
        <v>199</v>
      </c>
      <c r="AE2" s="6" t="s">
        <v>211</v>
      </c>
      <c r="AF2" s="6" t="s">
        <v>199</v>
      </c>
      <c r="AG2" s="6" t="s">
        <v>211</v>
      </c>
      <c r="AH2" s="4" t="s">
        <v>212</v>
      </c>
      <c r="AI2" s="4" t="s">
        <v>212</v>
      </c>
      <c r="AJ2" s="4" t="s">
        <v>212</v>
      </c>
      <c r="AK2" s="4" t="s">
        <v>212</v>
      </c>
      <c r="AL2" s="6" t="s">
        <v>213</v>
      </c>
      <c r="AM2" s="5" t="s">
        <v>214</v>
      </c>
      <c r="AN2" s="6" t="s">
        <v>208</v>
      </c>
      <c r="AO2" s="6" t="s">
        <v>209</v>
      </c>
      <c r="AP2" s="6" t="s">
        <v>201</v>
      </c>
      <c r="AQ2" s="6" t="s">
        <v>208</v>
      </c>
      <c r="AR2" s="6" t="s">
        <v>199</v>
      </c>
      <c r="AS2" s="13" t="s">
        <v>215</v>
      </c>
      <c r="AT2" s="6" t="s">
        <v>199</v>
      </c>
      <c r="AU2" s="6" t="s">
        <v>199</v>
      </c>
      <c r="AV2" s="4" t="s">
        <v>212</v>
      </c>
      <c r="AW2" s="6" t="s">
        <v>206</v>
      </c>
      <c r="AX2" s="6" t="s">
        <v>208</v>
      </c>
      <c r="AY2" s="3" t="s">
        <v>200</v>
      </c>
    </row>
    <row r="3" spans="1:51" ht="30.6">
      <c r="A3" s="9" t="s">
        <v>216</v>
      </c>
      <c r="B3" s="9" t="s">
        <v>217</v>
      </c>
      <c r="C3" s="15" t="s">
        <v>216</v>
      </c>
      <c r="D3" s="15"/>
      <c r="E3" s="15" t="s">
        <v>216</v>
      </c>
      <c r="F3" s="15" t="s">
        <v>216</v>
      </c>
      <c r="G3" s="15" t="s">
        <v>216</v>
      </c>
      <c r="H3" s="9"/>
      <c r="I3" s="22" t="s">
        <v>216</v>
      </c>
      <c r="J3" s="9"/>
      <c r="K3" s="9" t="s">
        <v>216</v>
      </c>
      <c r="L3" s="9"/>
      <c r="M3" s="9"/>
      <c r="N3" s="9"/>
      <c r="O3" s="9"/>
      <c r="P3" s="9"/>
      <c r="Q3" s="9"/>
      <c r="R3" s="9"/>
      <c r="S3" s="9"/>
      <c r="T3" s="9" t="s">
        <v>217</v>
      </c>
      <c r="U3" s="9" t="s">
        <v>217</v>
      </c>
      <c r="V3" s="9"/>
      <c r="W3" s="9" t="s">
        <v>216</v>
      </c>
      <c r="X3" s="9"/>
      <c r="Y3" s="10"/>
      <c r="Z3" s="9"/>
      <c r="AA3" s="9"/>
      <c r="AB3" s="9"/>
      <c r="AC3" s="9"/>
      <c r="AD3" s="9"/>
      <c r="AE3" s="9"/>
      <c r="AF3" s="9"/>
      <c r="AG3" s="9"/>
      <c r="AH3" s="11" t="s">
        <v>218</v>
      </c>
      <c r="AI3" s="11" t="s">
        <v>219</v>
      </c>
      <c r="AJ3" s="11" t="s">
        <v>220</v>
      </c>
      <c r="AK3" s="11" t="s">
        <v>221</v>
      </c>
      <c r="AL3" s="9" t="s">
        <v>220</v>
      </c>
      <c r="AM3" s="12"/>
      <c r="AN3" s="9"/>
      <c r="AO3" s="9"/>
      <c r="AP3" s="9"/>
      <c r="AQ3" s="9"/>
      <c r="AR3" s="9"/>
      <c r="AS3" s="14"/>
      <c r="AT3" s="9"/>
      <c r="AU3" s="9"/>
      <c r="AV3" s="11"/>
      <c r="AW3" s="9"/>
      <c r="AX3" s="9"/>
      <c r="AY3" s="15"/>
    </row>
    <row r="4" spans="1:51" ht="40.799999999999997">
      <c r="A4" s="7" t="s">
        <v>222</v>
      </c>
      <c r="B4" s="7" t="s">
        <v>223</v>
      </c>
      <c r="C4" s="2" t="s">
        <v>224</v>
      </c>
      <c r="D4" s="7" t="s">
        <v>225</v>
      </c>
      <c r="E4" s="2" t="s">
        <v>226</v>
      </c>
      <c r="F4" s="2" t="s">
        <v>227</v>
      </c>
      <c r="G4" s="2" t="s">
        <v>228</v>
      </c>
      <c r="H4" s="7" t="s">
        <v>229</v>
      </c>
      <c r="I4" s="7" t="s">
        <v>230</v>
      </c>
      <c r="J4" s="7" t="s">
        <v>231</v>
      </c>
      <c r="K4" s="7" t="s">
        <v>232</v>
      </c>
      <c r="L4" s="7" t="s">
        <v>233</v>
      </c>
      <c r="M4" s="7" t="s">
        <v>234</v>
      </c>
      <c r="N4" s="7" t="s">
        <v>235</v>
      </c>
      <c r="O4" s="7" t="s">
        <v>236</v>
      </c>
      <c r="P4" s="7" t="s">
        <v>237</v>
      </c>
      <c r="Q4" s="7" t="s">
        <v>238</v>
      </c>
      <c r="R4" s="7" t="s">
        <v>239</v>
      </c>
      <c r="S4" s="7" t="s">
        <v>240</v>
      </c>
      <c r="T4" s="7" t="s">
        <v>241</v>
      </c>
      <c r="U4" s="7" t="s">
        <v>242</v>
      </c>
      <c r="V4" s="7" t="s">
        <v>243</v>
      </c>
      <c r="W4" s="7" t="s">
        <v>244</v>
      </c>
      <c r="X4" s="7" t="s">
        <v>245</v>
      </c>
      <c r="Y4" s="7" t="s">
        <v>246</v>
      </c>
      <c r="Z4" s="7" t="s">
        <v>247</v>
      </c>
      <c r="AA4" s="7" t="s">
        <v>248</v>
      </c>
      <c r="AB4" s="7" t="s">
        <v>249</v>
      </c>
      <c r="AC4" s="7" t="s">
        <v>250</v>
      </c>
      <c r="AD4" s="7" t="s">
        <v>251</v>
      </c>
      <c r="AE4" s="7" t="s">
        <v>252</v>
      </c>
      <c r="AF4" s="7" t="s">
        <v>253</v>
      </c>
      <c r="AG4" s="7" t="s">
        <v>254</v>
      </c>
      <c r="AH4" s="7" t="s">
        <v>255</v>
      </c>
      <c r="AI4" s="7" t="s">
        <v>256</v>
      </c>
      <c r="AJ4" s="7" t="s">
        <v>257</v>
      </c>
      <c r="AK4" s="7" t="s">
        <v>258</v>
      </c>
      <c r="AL4" s="7" t="s">
        <v>259</v>
      </c>
      <c r="AM4" s="7" t="s">
        <v>260</v>
      </c>
      <c r="AN4" s="7" t="s">
        <v>261</v>
      </c>
      <c r="AO4" s="7" t="s">
        <v>262</v>
      </c>
      <c r="AP4" s="7" t="s">
        <v>263</v>
      </c>
      <c r="AQ4" s="7" t="s">
        <v>264</v>
      </c>
      <c r="AR4" s="7" t="s">
        <v>265</v>
      </c>
      <c r="AS4" s="7" t="s">
        <v>266</v>
      </c>
      <c r="AT4" s="7" t="s">
        <v>267</v>
      </c>
      <c r="AU4" s="7" t="s">
        <v>268</v>
      </c>
      <c r="AV4" s="7" t="s">
        <v>269</v>
      </c>
      <c r="AW4" s="7" t="s">
        <v>270</v>
      </c>
      <c r="AX4" s="7" t="s">
        <v>271</v>
      </c>
      <c r="AY4" s="7" t="s">
        <v>272</v>
      </c>
    </row>
    <row r="5" spans="1:51">
      <c r="A5" t="s">
        <v>273</v>
      </c>
      <c r="B5">
        <v>4541</v>
      </c>
      <c r="C5" s="16">
        <v>46087</v>
      </c>
      <c r="E5" s="16">
        <v>46087</v>
      </c>
      <c r="F5" s="16">
        <v>46087</v>
      </c>
      <c r="G5" s="16">
        <v>46102</v>
      </c>
      <c r="I5" t="s">
        <v>344</v>
      </c>
      <c r="K5" t="s">
        <v>298</v>
      </c>
      <c r="Q5" t="s">
        <v>324</v>
      </c>
      <c r="S5" t="s">
        <v>300</v>
      </c>
      <c r="T5">
        <v>52361</v>
      </c>
      <c r="U5" s="45">
        <v>46601</v>
      </c>
      <c r="W5" s="45">
        <v>27</v>
      </c>
      <c r="Z5">
        <f>VLOOKUP(AD5,mapping!B:G,5,0)</f>
        <v>430440</v>
      </c>
      <c r="AB5" t="str">
        <f>VLOOKUP(AD5,mapping!B:G,6,0)</f>
        <v>SECDIR</v>
      </c>
      <c r="AD5" t="s">
        <v>91</v>
      </c>
      <c r="AH5" s="46">
        <v>-75080</v>
      </c>
      <c r="AI5" s="46">
        <v>-20272</v>
      </c>
      <c r="AJ5" s="48"/>
      <c r="AK5" s="23"/>
      <c r="AL5" t="s">
        <v>299</v>
      </c>
      <c r="AN5" t="s">
        <v>343</v>
      </c>
    </row>
    <row r="6" spans="1:51">
      <c r="A6" t="s">
        <v>273</v>
      </c>
      <c r="B6">
        <v>4541</v>
      </c>
      <c r="C6" s="16">
        <v>46087</v>
      </c>
      <c r="E6" s="16">
        <v>46087</v>
      </c>
      <c r="F6" s="16">
        <v>46087</v>
      </c>
      <c r="G6" s="16">
        <v>46102</v>
      </c>
      <c r="I6" t="s">
        <v>344</v>
      </c>
      <c r="K6" t="s">
        <v>298</v>
      </c>
      <c r="Q6" t="s">
        <v>324</v>
      </c>
      <c r="S6" t="s">
        <v>300</v>
      </c>
      <c r="T6">
        <v>52361</v>
      </c>
      <c r="U6" s="45">
        <v>46601</v>
      </c>
      <c r="W6" s="45">
        <v>27</v>
      </c>
      <c r="Z6">
        <f>VLOOKUP(AD6,mapping!B:G,5,0)</f>
        <v>430430</v>
      </c>
      <c r="AB6" t="str">
        <f>VLOOKUP(AD6,mapping!B:G,6,0)</f>
        <v>SECDIR</v>
      </c>
      <c r="AD6" t="s">
        <v>136</v>
      </c>
      <c r="AH6" s="46">
        <v>-62133</v>
      </c>
      <c r="AI6" s="46">
        <v>-16776</v>
      </c>
      <c r="AJ6" s="48"/>
      <c r="AK6" s="23"/>
      <c r="AL6" t="s">
        <v>299</v>
      </c>
      <c r="AN6" t="s">
        <v>343</v>
      </c>
    </row>
    <row r="7" spans="1:51">
      <c r="A7" t="s">
        <v>273</v>
      </c>
      <c r="B7">
        <v>4541</v>
      </c>
      <c r="C7" s="16">
        <v>46087</v>
      </c>
      <c r="E7" s="16">
        <v>46087</v>
      </c>
      <c r="F7" s="16">
        <v>46087</v>
      </c>
      <c r="G7" s="16">
        <v>46102</v>
      </c>
      <c r="I7" t="s">
        <v>344</v>
      </c>
      <c r="K7" t="s">
        <v>298</v>
      </c>
      <c r="Q7" t="s">
        <v>324</v>
      </c>
      <c r="S7" t="s">
        <v>300</v>
      </c>
      <c r="T7">
        <v>52361</v>
      </c>
      <c r="U7" s="45">
        <v>46601</v>
      </c>
      <c r="W7" s="45">
        <v>27</v>
      </c>
      <c r="Z7">
        <f>VLOOKUP(AD7,mapping!B:G,5,0)</f>
        <v>430430</v>
      </c>
      <c r="AB7" t="str">
        <f>VLOOKUP(AD7,mapping!B:G,6,0)</f>
        <v>SECDIR</v>
      </c>
      <c r="AD7" t="s">
        <v>43</v>
      </c>
      <c r="AH7" s="46">
        <v>-73150</v>
      </c>
      <c r="AI7" s="46">
        <v>-19750</v>
      </c>
      <c r="AJ7" s="48"/>
      <c r="AK7" s="23"/>
      <c r="AL7" t="s">
        <v>299</v>
      </c>
      <c r="AN7" t="s">
        <v>343</v>
      </c>
    </row>
    <row r="8" spans="1:51">
      <c r="A8" t="s">
        <v>273</v>
      </c>
      <c r="B8">
        <v>4541</v>
      </c>
      <c r="C8" s="16">
        <v>46087</v>
      </c>
      <c r="E8" s="16">
        <v>46087</v>
      </c>
      <c r="F8" s="16">
        <v>46087</v>
      </c>
      <c r="G8" s="16">
        <v>46102</v>
      </c>
      <c r="I8" t="s">
        <v>344</v>
      </c>
      <c r="K8" t="s">
        <v>298</v>
      </c>
      <c r="Q8" t="s">
        <v>324</v>
      </c>
      <c r="S8" t="s">
        <v>300</v>
      </c>
      <c r="T8">
        <v>52361</v>
      </c>
      <c r="U8" s="45">
        <v>46601</v>
      </c>
      <c r="W8" s="45">
        <v>27</v>
      </c>
      <c r="Z8">
        <f>VLOOKUP(AD8,mapping!B:G,5,0)</f>
        <v>430440</v>
      </c>
      <c r="AB8" t="str">
        <f>VLOOKUP(AD8,mapping!B:G,6,0)</f>
        <v>SECDIR</v>
      </c>
      <c r="AD8" t="s">
        <v>97</v>
      </c>
      <c r="AH8" s="46">
        <v>-62625</v>
      </c>
      <c r="AI8" s="46">
        <v>-16909</v>
      </c>
      <c r="AJ8" s="48"/>
      <c r="AK8" s="23"/>
      <c r="AL8" t="s">
        <v>299</v>
      </c>
      <c r="AN8" t="s">
        <v>343</v>
      </c>
    </row>
    <row r="9" spans="1:51">
      <c r="A9" t="s">
        <v>273</v>
      </c>
      <c r="B9">
        <v>4541</v>
      </c>
      <c r="C9" s="16">
        <v>46087</v>
      </c>
      <c r="E9" s="16">
        <v>46087</v>
      </c>
      <c r="F9" s="16">
        <v>46087</v>
      </c>
      <c r="G9" s="16">
        <v>46102</v>
      </c>
      <c r="I9" t="s">
        <v>344</v>
      </c>
      <c r="K9" t="s">
        <v>298</v>
      </c>
      <c r="Q9" t="s">
        <v>324</v>
      </c>
      <c r="S9" t="s">
        <v>300</v>
      </c>
      <c r="T9">
        <v>52361</v>
      </c>
      <c r="U9" s="45">
        <v>46601</v>
      </c>
      <c r="W9" s="45">
        <v>27</v>
      </c>
      <c r="Z9">
        <f>VLOOKUP(AD9,mapping!B:G,5,0)</f>
        <v>430440</v>
      </c>
      <c r="AB9" t="str">
        <f>VLOOKUP(AD9,mapping!B:G,6,0)</f>
        <v>SECDIR</v>
      </c>
      <c r="AD9" t="s">
        <v>96</v>
      </c>
      <c r="AH9" s="46">
        <v>-73497</v>
      </c>
      <c r="AI9" s="46">
        <v>-19844</v>
      </c>
      <c r="AJ9" s="48"/>
      <c r="AK9" s="23"/>
      <c r="AL9" t="s">
        <v>299</v>
      </c>
      <c r="AN9" t="s">
        <v>343</v>
      </c>
    </row>
    <row r="10" spans="1:51">
      <c r="A10" t="s">
        <v>273</v>
      </c>
      <c r="B10">
        <v>4541</v>
      </c>
      <c r="C10" s="16">
        <v>46087</v>
      </c>
      <c r="E10" s="16">
        <v>46087</v>
      </c>
      <c r="F10" s="16">
        <v>46087</v>
      </c>
      <c r="G10" s="16">
        <v>46102</v>
      </c>
      <c r="I10" t="s">
        <v>344</v>
      </c>
      <c r="K10" t="s">
        <v>298</v>
      </c>
      <c r="Q10" t="s">
        <v>324</v>
      </c>
      <c r="S10" t="s">
        <v>300</v>
      </c>
      <c r="T10">
        <v>52361</v>
      </c>
      <c r="U10" s="45">
        <v>46601</v>
      </c>
      <c r="W10" s="45">
        <v>27</v>
      </c>
      <c r="Z10">
        <f>VLOOKUP(AD10,mapping!B:G,5,0)</f>
        <v>430430</v>
      </c>
      <c r="AB10" t="str">
        <f>VLOOKUP(AD10,mapping!B:G,6,0)</f>
        <v>SECDIR</v>
      </c>
      <c r="AD10" t="s">
        <v>98</v>
      </c>
      <c r="AH10" s="46">
        <v>-71225</v>
      </c>
      <c r="AI10" s="46">
        <v>-19231</v>
      </c>
      <c r="AJ10" s="48"/>
      <c r="AK10" s="23"/>
      <c r="AL10" t="s">
        <v>299</v>
      </c>
      <c r="AN10" t="s">
        <v>343</v>
      </c>
    </row>
    <row r="11" spans="1:51">
      <c r="A11" t="s">
        <v>273</v>
      </c>
      <c r="B11">
        <v>4541</v>
      </c>
      <c r="C11" s="16">
        <v>46087</v>
      </c>
      <c r="E11" s="16">
        <v>46087</v>
      </c>
      <c r="F11" s="16">
        <v>46087</v>
      </c>
      <c r="G11" s="16">
        <v>46102</v>
      </c>
      <c r="I11" t="s">
        <v>344</v>
      </c>
      <c r="K11" t="s">
        <v>298</v>
      </c>
      <c r="Q11" t="s">
        <v>324</v>
      </c>
      <c r="S11" t="s">
        <v>300</v>
      </c>
      <c r="T11">
        <v>52361</v>
      </c>
      <c r="U11" s="45">
        <v>46601</v>
      </c>
      <c r="W11" s="45">
        <v>27</v>
      </c>
      <c r="Z11">
        <f>VLOOKUP(AD11,mapping!B:G,5,0)</f>
        <v>430880</v>
      </c>
      <c r="AB11" t="str">
        <f>VLOOKUP(AD11,mapping!B:G,6,0)</f>
        <v>SECDIR</v>
      </c>
      <c r="AD11" t="s">
        <v>99</v>
      </c>
      <c r="AH11" s="46">
        <v>-66997</v>
      </c>
      <c r="AI11" s="46">
        <v>-18089</v>
      </c>
      <c r="AJ11" s="48"/>
      <c r="AK11" s="23"/>
      <c r="AL11" t="s">
        <v>299</v>
      </c>
      <c r="AN11" t="s">
        <v>343</v>
      </c>
    </row>
    <row r="12" spans="1:51">
      <c r="A12" t="s">
        <v>273</v>
      </c>
      <c r="B12">
        <v>4541</v>
      </c>
      <c r="C12" s="16">
        <v>46087</v>
      </c>
      <c r="E12" s="16">
        <v>46087</v>
      </c>
      <c r="F12" s="16">
        <v>46087</v>
      </c>
      <c r="G12" s="16">
        <v>46102</v>
      </c>
      <c r="I12" t="s">
        <v>344</v>
      </c>
      <c r="K12" t="s">
        <v>298</v>
      </c>
      <c r="Q12" t="s">
        <v>324</v>
      </c>
      <c r="S12" t="s">
        <v>300</v>
      </c>
      <c r="T12">
        <v>52361</v>
      </c>
      <c r="U12" s="45">
        <v>46601</v>
      </c>
      <c r="W12" s="45">
        <v>27</v>
      </c>
      <c r="Z12">
        <f>VLOOKUP(AD12,mapping!B:G,5,0)</f>
        <v>430440</v>
      </c>
      <c r="AB12" t="str">
        <f>VLOOKUP(AD12,mapping!B:G,6,0)</f>
        <v>SECDIR</v>
      </c>
      <c r="AD12" t="s">
        <v>92</v>
      </c>
      <c r="AH12" s="46">
        <v>-73850</v>
      </c>
      <c r="AI12" s="46">
        <v>-19940</v>
      </c>
      <c r="AJ12" s="48"/>
      <c r="AK12" s="23"/>
      <c r="AL12" t="s">
        <v>299</v>
      </c>
      <c r="AN12" t="s">
        <v>343</v>
      </c>
    </row>
    <row r="13" spans="1:51">
      <c r="A13" t="s">
        <v>273</v>
      </c>
      <c r="B13">
        <v>4541</v>
      </c>
      <c r="C13" s="16">
        <v>46087</v>
      </c>
      <c r="E13" s="16">
        <v>46087</v>
      </c>
      <c r="F13" s="16">
        <v>46087</v>
      </c>
      <c r="G13" s="16">
        <v>46102</v>
      </c>
      <c r="I13" t="s">
        <v>344</v>
      </c>
      <c r="K13" t="s">
        <v>298</v>
      </c>
      <c r="Q13" t="s">
        <v>324</v>
      </c>
      <c r="S13" t="s">
        <v>300</v>
      </c>
      <c r="T13">
        <v>52361</v>
      </c>
      <c r="U13" s="45">
        <v>46601</v>
      </c>
      <c r="W13" s="45">
        <v>27</v>
      </c>
      <c r="Z13">
        <f>VLOOKUP(AD13,mapping!B:G,5,0)</f>
        <v>430440</v>
      </c>
      <c r="AB13" t="str">
        <f>VLOOKUP(AD13,mapping!B:G,6,0)</f>
        <v>SECDIR</v>
      </c>
      <c r="AD13" t="s">
        <v>180</v>
      </c>
      <c r="AH13" s="46">
        <v>-72447</v>
      </c>
      <c r="AI13" s="46">
        <v>-19561</v>
      </c>
      <c r="AJ13" s="48"/>
      <c r="AK13" s="23"/>
      <c r="AL13" t="s">
        <v>299</v>
      </c>
      <c r="AN13" t="s">
        <v>343</v>
      </c>
    </row>
    <row r="14" spans="1:51">
      <c r="A14" t="s">
        <v>273</v>
      </c>
      <c r="B14">
        <v>4541</v>
      </c>
      <c r="C14" s="16">
        <v>46087</v>
      </c>
      <c r="E14" s="16">
        <v>46087</v>
      </c>
      <c r="F14" s="16">
        <v>46087</v>
      </c>
      <c r="G14" s="16">
        <v>46102</v>
      </c>
      <c r="I14" t="s">
        <v>344</v>
      </c>
      <c r="K14" t="s">
        <v>298</v>
      </c>
      <c r="Q14" t="s">
        <v>324</v>
      </c>
      <c r="S14" t="s">
        <v>300</v>
      </c>
      <c r="T14">
        <v>52361</v>
      </c>
      <c r="U14" s="45">
        <v>46601</v>
      </c>
      <c r="W14" s="45">
        <v>27</v>
      </c>
      <c r="Z14">
        <f>VLOOKUP(AD14,mapping!B:G,5,0)</f>
        <v>430430</v>
      </c>
      <c r="AB14" t="str">
        <f>VLOOKUP(AD14,mapping!B:G,6,0)</f>
        <v>SECDIR</v>
      </c>
      <c r="AD14" t="s">
        <v>179</v>
      </c>
      <c r="AH14" s="46">
        <v>-70638</v>
      </c>
      <c r="AI14" s="46">
        <v>-19072</v>
      </c>
      <c r="AJ14" s="48"/>
      <c r="AK14" s="23"/>
      <c r="AL14" t="s">
        <v>299</v>
      </c>
      <c r="AN14" t="s">
        <v>343</v>
      </c>
    </row>
    <row r="15" spans="1:51">
      <c r="A15" t="s">
        <v>273</v>
      </c>
      <c r="B15">
        <v>4541</v>
      </c>
      <c r="C15" s="16">
        <v>46087</v>
      </c>
      <c r="E15" s="16">
        <v>46087</v>
      </c>
      <c r="F15" s="16">
        <v>46087</v>
      </c>
      <c r="G15" s="16">
        <v>46102</v>
      </c>
      <c r="I15" t="s">
        <v>344</v>
      </c>
      <c r="K15" t="s">
        <v>298</v>
      </c>
      <c r="Q15" t="s">
        <v>324</v>
      </c>
      <c r="S15" t="s">
        <v>300</v>
      </c>
      <c r="T15">
        <v>52361</v>
      </c>
      <c r="U15" s="45">
        <v>46601</v>
      </c>
      <c r="W15" s="45">
        <v>27</v>
      </c>
      <c r="Z15">
        <f>VLOOKUP(AD15,mapping!B:G,5,0)</f>
        <v>430430</v>
      </c>
      <c r="AB15" t="str">
        <f>VLOOKUP(AD15,mapping!B:G,6,0)</f>
        <v>SECDIR</v>
      </c>
      <c r="AD15" t="s">
        <v>178</v>
      </c>
      <c r="AH15" s="46">
        <v>-78100</v>
      </c>
      <c r="AI15" s="46">
        <v>-21087</v>
      </c>
      <c r="AJ15" s="48"/>
      <c r="AK15" s="23"/>
      <c r="AL15" t="s">
        <v>299</v>
      </c>
      <c r="AN15" t="s">
        <v>343</v>
      </c>
    </row>
    <row r="16" spans="1:51">
      <c r="A16" t="s">
        <v>273</v>
      </c>
      <c r="B16">
        <v>4541</v>
      </c>
      <c r="C16" s="16">
        <v>46087</v>
      </c>
      <c r="E16" s="16">
        <v>46087</v>
      </c>
      <c r="F16" s="16">
        <v>46087</v>
      </c>
      <c r="G16" s="16">
        <v>46102</v>
      </c>
      <c r="I16" t="s">
        <v>344</v>
      </c>
      <c r="K16" t="s">
        <v>298</v>
      </c>
      <c r="Q16" t="s">
        <v>324</v>
      </c>
      <c r="S16" t="s">
        <v>300</v>
      </c>
      <c r="T16">
        <v>52361</v>
      </c>
      <c r="U16" s="45">
        <v>46601</v>
      </c>
      <c r="W16" s="45">
        <v>27</v>
      </c>
      <c r="Z16">
        <f>VLOOKUP(AD16,mapping!B:G,5,0)</f>
        <v>430430</v>
      </c>
      <c r="AB16" t="str">
        <f>VLOOKUP(AD16,mapping!B:G,6,0)</f>
        <v>SECDIR</v>
      </c>
      <c r="AD16" t="s">
        <v>119</v>
      </c>
      <c r="AH16" s="46">
        <v>-86565</v>
      </c>
      <c r="AI16" s="46">
        <v>-23373</v>
      </c>
      <c r="AJ16" s="48"/>
      <c r="AK16" s="23"/>
      <c r="AL16" t="s">
        <v>299</v>
      </c>
      <c r="AN16" t="s">
        <v>343</v>
      </c>
    </row>
    <row r="17" spans="1:40">
      <c r="A17" t="s">
        <v>273</v>
      </c>
      <c r="B17">
        <v>4541</v>
      </c>
      <c r="C17" s="16">
        <v>46087</v>
      </c>
      <c r="E17" s="16">
        <v>46087</v>
      </c>
      <c r="F17" s="16">
        <v>46087</v>
      </c>
      <c r="G17" s="16">
        <v>46102</v>
      </c>
      <c r="I17" t="s">
        <v>344</v>
      </c>
      <c r="K17" t="s">
        <v>298</v>
      </c>
      <c r="Q17" t="s">
        <v>324</v>
      </c>
      <c r="S17" t="s">
        <v>300</v>
      </c>
      <c r="T17">
        <v>52361</v>
      </c>
      <c r="U17" s="45">
        <v>46601</v>
      </c>
      <c r="W17" s="45">
        <v>27</v>
      </c>
      <c r="Z17">
        <f>VLOOKUP(AD17,mapping!B:G,5,0)</f>
        <v>430430</v>
      </c>
      <c r="AB17" t="str">
        <f>VLOOKUP(AD17,mapping!B:G,6,0)</f>
        <v>SECDIR</v>
      </c>
      <c r="AD17" t="s">
        <v>283</v>
      </c>
      <c r="AH17" s="46">
        <v>-79949</v>
      </c>
      <c r="AI17" s="46">
        <v>-21586</v>
      </c>
      <c r="AJ17" s="48"/>
      <c r="AK17" s="23"/>
      <c r="AL17" t="s">
        <v>299</v>
      </c>
      <c r="AN17" t="s">
        <v>343</v>
      </c>
    </row>
    <row r="18" spans="1:40">
      <c r="A18" t="s">
        <v>273</v>
      </c>
      <c r="B18">
        <v>4541</v>
      </c>
      <c r="C18" s="16">
        <v>46087</v>
      </c>
      <c r="E18" s="16">
        <v>46087</v>
      </c>
      <c r="F18" s="16">
        <v>46087</v>
      </c>
      <c r="G18" s="16">
        <v>46102</v>
      </c>
      <c r="I18" t="s">
        <v>344</v>
      </c>
      <c r="K18" t="s">
        <v>298</v>
      </c>
      <c r="Q18" t="s">
        <v>324</v>
      </c>
      <c r="S18" t="s">
        <v>300</v>
      </c>
      <c r="T18">
        <v>52361</v>
      </c>
      <c r="U18" s="45">
        <v>46601</v>
      </c>
      <c r="W18" s="45">
        <v>27</v>
      </c>
      <c r="Z18">
        <f>VLOOKUP(AD18,mapping!B:G,5,0)</f>
        <v>430440</v>
      </c>
      <c r="AB18" t="str">
        <f>VLOOKUP(AD18,mapping!B:G,6,0)</f>
        <v>SECDIR</v>
      </c>
      <c r="AD18" t="s">
        <v>109</v>
      </c>
      <c r="AH18" s="46">
        <v>-82855</v>
      </c>
      <c r="AI18" s="46">
        <v>-22371</v>
      </c>
      <c r="AJ18" s="48"/>
      <c r="AK18" s="23"/>
      <c r="AL18" t="s">
        <v>299</v>
      </c>
      <c r="AN18" t="s">
        <v>343</v>
      </c>
    </row>
    <row r="19" spans="1:40">
      <c r="A19" t="s">
        <v>273</v>
      </c>
      <c r="B19">
        <v>4541</v>
      </c>
      <c r="C19" s="16">
        <v>46087</v>
      </c>
      <c r="E19" s="16">
        <v>46087</v>
      </c>
      <c r="F19" s="16">
        <v>46087</v>
      </c>
      <c r="G19" s="16">
        <v>46102</v>
      </c>
      <c r="I19" t="s">
        <v>344</v>
      </c>
      <c r="K19" t="s">
        <v>298</v>
      </c>
      <c r="Q19" t="s">
        <v>324</v>
      </c>
      <c r="S19" t="s">
        <v>300</v>
      </c>
      <c r="T19">
        <v>52361</v>
      </c>
      <c r="U19" s="45">
        <v>46601</v>
      </c>
      <c r="W19" s="45">
        <v>27</v>
      </c>
      <c r="Z19">
        <f>VLOOKUP(AD19,mapping!B:G,5,0)</f>
        <v>430440</v>
      </c>
      <c r="AB19" t="str">
        <f>VLOOKUP(AD19,mapping!B:G,6,0)</f>
        <v>SECDIR</v>
      </c>
      <c r="AD19" t="s">
        <v>117</v>
      </c>
      <c r="AH19" s="46">
        <v>-77946</v>
      </c>
      <c r="AI19" s="46">
        <v>-21045</v>
      </c>
      <c r="AJ19" s="48"/>
      <c r="AK19" s="23"/>
      <c r="AL19" t="s">
        <v>299</v>
      </c>
      <c r="AN19" t="s">
        <v>343</v>
      </c>
    </row>
    <row r="20" spans="1:40">
      <c r="A20" t="s">
        <v>273</v>
      </c>
      <c r="B20">
        <v>4541</v>
      </c>
      <c r="C20" s="16">
        <v>46087</v>
      </c>
      <c r="E20" s="16">
        <v>46087</v>
      </c>
      <c r="F20" s="16">
        <v>46087</v>
      </c>
      <c r="G20" s="16">
        <v>46102</v>
      </c>
      <c r="I20" t="s">
        <v>344</v>
      </c>
      <c r="K20" t="s">
        <v>298</v>
      </c>
      <c r="Q20" t="s">
        <v>324</v>
      </c>
      <c r="S20" t="s">
        <v>300</v>
      </c>
      <c r="T20">
        <v>52361</v>
      </c>
      <c r="U20" s="45">
        <v>46601</v>
      </c>
      <c r="W20" s="45">
        <v>27</v>
      </c>
      <c r="Z20">
        <f>VLOOKUP(AD20,mapping!B:G,5,0)</f>
        <v>430430</v>
      </c>
      <c r="AB20" t="str">
        <f>VLOOKUP(AD20,mapping!B:G,6,0)</f>
        <v>SECDIR</v>
      </c>
      <c r="AD20" t="s">
        <v>104</v>
      </c>
      <c r="AH20" s="46">
        <v>-75740</v>
      </c>
      <c r="AI20" s="46">
        <v>-20450</v>
      </c>
      <c r="AJ20" s="48"/>
      <c r="AK20" s="23"/>
      <c r="AL20" t="s">
        <v>299</v>
      </c>
      <c r="AN20" t="s">
        <v>343</v>
      </c>
    </row>
    <row r="21" spans="1:40">
      <c r="A21" t="s">
        <v>273</v>
      </c>
      <c r="B21">
        <v>4541</v>
      </c>
      <c r="C21" s="16">
        <v>46087</v>
      </c>
      <c r="E21" s="16">
        <v>46087</v>
      </c>
      <c r="F21" s="16">
        <v>46087</v>
      </c>
      <c r="G21" s="16">
        <v>46102</v>
      </c>
      <c r="I21" t="s">
        <v>344</v>
      </c>
      <c r="K21" t="s">
        <v>298</v>
      </c>
      <c r="Q21" t="s">
        <v>324</v>
      </c>
      <c r="S21" t="s">
        <v>300</v>
      </c>
      <c r="T21">
        <v>52361</v>
      </c>
      <c r="U21" s="45">
        <v>46601</v>
      </c>
      <c r="W21" s="45">
        <v>27</v>
      </c>
      <c r="Z21">
        <f>VLOOKUP(AD21,mapping!B:G,5,0)</f>
        <v>430440</v>
      </c>
      <c r="AB21" t="str">
        <f>VLOOKUP(AD21,mapping!B:G,6,0)</f>
        <v>SECDIR</v>
      </c>
      <c r="AD21" t="s">
        <v>120</v>
      </c>
      <c r="AG21" s="46"/>
      <c r="AH21" s="46">
        <v>-80173</v>
      </c>
      <c r="AI21" s="46">
        <v>-21647</v>
      </c>
      <c r="AJ21" s="48"/>
      <c r="AK21" s="23"/>
      <c r="AL21" t="s">
        <v>299</v>
      </c>
      <c r="AN21" t="s">
        <v>343</v>
      </c>
    </row>
    <row r="22" spans="1:40">
      <c r="A22" t="s">
        <v>273</v>
      </c>
      <c r="B22">
        <v>4541</v>
      </c>
      <c r="C22" s="16">
        <v>46087</v>
      </c>
      <c r="E22" s="16">
        <v>46087</v>
      </c>
      <c r="F22" s="16">
        <v>46087</v>
      </c>
      <c r="G22" s="16">
        <v>46102</v>
      </c>
      <c r="I22" t="s">
        <v>344</v>
      </c>
      <c r="K22" t="s">
        <v>298</v>
      </c>
      <c r="Q22" t="s">
        <v>324</v>
      </c>
      <c r="S22" t="s">
        <v>300</v>
      </c>
      <c r="T22">
        <v>52361</v>
      </c>
      <c r="U22" s="45">
        <v>46601</v>
      </c>
      <c r="W22" s="45">
        <v>27</v>
      </c>
      <c r="Z22">
        <f>VLOOKUP(AD22,mapping!B:G,5,0)</f>
        <v>430430</v>
      </c>
      <c r="AB22" t="str">
        <f>VLOOKUP(AD22,mapping!B:G,6,0)</f>
        <v>SECDIR</v>
      </c>
      <c r="AD22" t="s">
        <v>181</v>
      </c>
      <c r="AG22" s="46"/>
      <c r="AH22" s="46">
        <v>-77462</v>
      </c>
      <c r="AI22" s="46">
        <v>-20915</v>
      </c>
      <c r="AJ22" s="48"/>
      <c r="AK22" s="23"/>
      <c r="AL22" t="s">
        <v>299</v>
      </c>
      <c r="AN22" t="s">
        <v>343</v>
      </c>
    </row>
    <row r="23" spans="1:40">
      <c r="A23" t="s">
        <v>273</v>
      </c>
      <c r="B23">
        <v>4541</v>
      </c>
      <c r="C23" s="16">
        <v>46087</v>
      </c>
      <c r="E23" s="16">
        <v>46087</v>
      </c>
      <c r="F23" s="16">
        <v>46087</v>
      </c>
      <c r="G23" s="16">
        <v>46102</v>
      </c>
      <c r="I23" t="s">
        <v>344</v>
      </c>
      <c r="K23" t="s">
        <v>298</v>
      </c>
      <c r="Q23" t="s">
        <v>324</v>
      </c>
      <c r="S23" t="s">
        <v>300</v>
      </c>
      <c r="T23">
        <v>52361</v>
      </c>
      <c r="U23" s="45">
        <v>46601</v>
      </c>
      <c r="W23" s="45">
        <v>27</v>
      </c>
      <c r="Z23">
        <f>VLOOKUP(AD23,mapping!B:G,5,0)</f>
        <v>430430</v>
      </c>
      <c r="AB23" t="str">
        <f>VLOOKUP(AD23,mapping!B:G,6,0)</f>
        <v>SECDIR</v>
      </c>
      <c r="AD23" t="s">
        <v>182</v>
      </c>
      <c r="AG23" s="46"/>
      <c r="AH23" s="46">
        <v>-72653</v>
      </c>
      <c r="AI23" s="46">
        <v>-19616</v>
      </c>
      <c r="AJ23" s="48"/>
      <c r="AK23" s="23"/>
      <c r="AL23" t="s">
        <v>299</v>
      </c>
      <c r="AN23" t="s">
        <v>343</v>
      </c>
    </row>
    <row r="24" spans="1:40">
      <c r="A24" t="s">
        <v>273</v>
      </c>
      <c r="B24">
        <v>4541</v>
      </c>
      <c r="C24" s="16">
        <v>46087</v>
      </c>
      <c r="E24" s="16">
        <v>46087</v>
      </c>
      <c r="F24" s="16">
        <v>46087</v>
      </c>
      <c r="G24" s="16">
        <v>46102</v>
      </c>
      <c r="I24" t="s">
        <v>344</v>
      </c>
      <c r="K24" t="s">
        <v>298</v>
      </c>
      <c r="Q24" t="s">
        <v>324</v>
      </c>
      <c r="S24" t="s">
        <v>300</v>
      </c>
      <c r="T24">
        <v>52361</v>
      </c>
      <c r="U24" s="45">
        <v>46601</v>
      </c>
      <c r="W24" s="45">
        <v>27</v>
      </c>
      <c r="Z24">
        <f>VLOOKUP(AD24,mapping!B:G,5,0)</f>
        <v>430440</v>
      </c>
      <c r="AB24" t="str">
        <f>VLOOKUP(AD24,mapping!B:G,6,0)</f>
        <v>SECDIR</v>
      </c>
      <c r="AD24" t="s">
        <v>183</v>
      </c>
      <c r="AG24" s="46"/>
      <c r="AH24" s="46">
        <v>-78872</v>
      </c>
      <c r="AI24" s="46">
        <v>-21295</v>
      </c>
      <c r="AJ24" s="48"/>
      <c r="AK24" s="23"/>
      <c r="AL24" t="s">
        <v>299</v>
      </c>
      <c r="AN24" t="s">
        <v>343</v>
      </c>
    </row>
    <row r="25" spans="1:40">
      <c r="A25" t="s">
        <v>273</v>
      </c>
      <c r="B25">
        <v>4541</v>
      </c>
      <c r="C25" s="16">
        <v>46087</v>
      </c>
      <c r="E25" s="16">
        <v>46087</v>
      </c>
      <c r="F25" s="16">
        <v>46087</v>
      </c>
      <c r="G25" s="16">
        <v>46102</v>
      </c>
      <c r="I25" t="s">
        <v>344</v>
      </c>
      <c r="K25" t="s">
        <v>298</v>
      </c>
      <c r="Q25" t="s">
        <v>324</v>
      </c>
      <c r="S25" t="s">
        <v>300</v>
      </c>
      <c r="T25">
        <v>52361</v>
      </c>
      <c r="U25" s="45">
        <v>46601</v>
      </c>
      <c r="W25" s="45">
        <v>27</v>
      </c>
      <c r="Z25">
        <f>VLOOKUP(AD25,mapping!B:G,5,0)</f>
        <v>430440</v>
      </c>
      <c r="AB25" t="str">
        <f>VLOOKUP(AD25,mapping!B:G,6,0)</f>
        <v>SECDIR</v>
      </c>
      <c r="AD25" t="s">
        <v>184</v>
      </c>
      <c r="AG25" s="46"/>
      <c r="AH25" s="46">
        <v>-82809</v>
      </c>
      <c r="AI25" s="46">
        <v>-22358</v>
      </c>
      <c r="AJ25" s="48"/>
      <c r="AK25" s="23"/>
      <c r="AL25" t="s">
        <v>299</v>
      </c>
      <c r="AN25" t="s">
        <v>343</v>
      </c>
    </row>
    <row r="26" spans="1:40">
      <c r="A26" t="s">
        <v>273</v>
      </c>
      <c r="B26">
        <v>4541</v>
      </c>
      <c r="C26" s="16">
        <v>46087</v>
      </c>
      <c r="E26" s="16">
        <v>46087</v>
      </c>
      <c r="F26" s="16">
        <v>46087</v>
      </c>
      <c r="G26" s="16">
        <v>46102</v>
      </c>
      <c r="I26" t="s">
        <v>344</v>
      </c>
      <c r="K26" t="s">
        <v>298</v>
      </c>
      <c r="Q26" t="s">
        <v>324</v>
      </c>
      <c r="S26" t="s">
        <v>300</v>
      </c>
      <c r="T26">
        <v>52361</v>
      </c>
      <c r="U26" s="45">
        <v>46601</v>
      </c>
      <c r="W26" s="45">
        <v>27</v>
      </c>
      <c r="Z26">
        <f>VLOOKUP(AD26,mapping!B:G,5,0)</f>
        <v>430430</v>
      </c>
      <c r="AB26" t="str">
        <f>VLOOKUP(AD26,mapping!B:G,6,0)</f>
        <v>SECDIR</v>
      </c>
      <c r="AD26" t="s">
        <v>186</v>
      </c>
      <c r="AG26" s="46"/>
      <c r="AH26" s="46">
        <v>-76782</v>
      </c>
      <c r="AI26" s="46">
        <v>-20731</v>
      </c>
      <c r="AJ26" s="48"/>
      <c r="AK26" s="23"/>
      <c r="AL26" t="s">
        <v>299</v>
      </c>
      <c r="AN26" t="s">
        <v>343</v>
      </c>
    </row>
    <row r="27" spans="1:40">
      <c r="A27" t="s">
        <v>273</v>
      </c>
      <c r="B27">
        <v>4541</v>
      </c>
      <c r="C27" s="16">
        <v>46087</v>
      </c>
      <c r="E27" s="16">
        <v>46087</v>
      </c>
      <c r="F27" s="16">
        <v>46087</v>
      </c>
      <c r="G27" s="16">
        <v>46102</v>
      </c>
      <c r="I27" t="s">
        <v>344</v>
      </c>
      <c r="K27" t="s">
        <v>298</v>
      </c>
      <c r="Q27" t="s">
        <v>324</v>
      </c>
      <c r="S27" t="s">
        <v>300</v>
      </c>
      <c r="T27">
        <v>52361</v>
      </c>
      <c r="U27" s="45">
        <v>46601</v>
      </c>
      <c r="W27" s="45">
        <v>27</v>
      </c>
      <c r="Z27">
        <f>VLOOKUP(AD27,mapping!B:G,5,0)</f>
        <v>430440</v>
      </c>
      <c r="AB27" t="str">
        <f>VLOOKUP(AD27,mapping!B:G,6,0)</f>
        <v>SECDIR</v>
      </c>
      <c r="AD27" t="s">
        <v>108</v>
      </c>
      <c r="AG27" s="46"/>
      <c r="AH27" s="46">
        <v>-77357</v>
      </c>
      <c r="AI27" s="46">
        <v>-20886</v>
      </c>
      <c r="AJ27" s="48"/>
      <c r="AK27" s="23"/>
      <c r="AL27" t="s">
        <v>299</v>
      </c>
      <c r="AN27" t="s">
        <v>343</v>
      </c>
    </row>
    <row r="28" spans="1:40">
      <c r="A28" t="s">
        <v>273</v>
      </c>
      <c r="B28">
        <v>4541</v>
      </c>
      <c r="C28" s="16">
        <v>46087</v>
      </c>
      <c r="E28" s="16">
        <v>46087</v>
      </c>
      <c r="F28" s="16">
        <v>46087</v>
      </c>
      <c r="G28" s="16">
        <v>46102</v>
      </c>
      <c r="I28" t="s">
        <v>344</v>
      </c>
      <c r="K28" t="s">
        <v>298</v>
      </c>
      <c r="Q28" t="s">
        <v>324</v>
      </c>
      <c r="S28" t="s">
        <v>300</v>
      </c>
      <c r="T28">
        <v>52361</v>
      </c>
      <c r="U28" s="45">
        <v>46601</v>
      </c>
      <c r="W28" s="45">
        <v>27</v>
      </c>
      <c r="Z28">
        <f>VLOOKUP(AD28,mapping!B:G,5,0)</f>
        <v>430430</v>
      </c>
      <c r="AB28" t="str">
        <f>VLOOKUP(AD28,mapping!B:G,6,0)</f>
        <v>SECDIR</v>
      </c>
      <c r="AD28" t="s">
        <v>54</v>
      </c>
      <c r="AG28" s="46"/>
      <c r="AH28" s="46">
        <v>-139835</v>
      </c>
      <c r="AI28" s="46">
        <v>-37755</v>
      </c>
      <c r="AJ28" s="48"/>
      <c r="AK28" s="23"/>
      <c r="AL28" t="s">
        <v>299</v>
      </c>
      <c r="AN28" t="s">
        <v>343</v>
      </c>
    </row>
    <row r="29" spans="1:40">
      <c r="A29" t="s">
        <v>273</v>
      </c>
      <c r="B29">
        <v>4541</v>
      </c>
      <c r="C29" s="16">
        <v>46087</v>
      </c>
      <c r="E29" s="16">
        <v>46087</v>
      </c>
      <c r="F29" s="16">
        <v>46087</v>
      </c>
      <c r="G29" s="16">
        <v>46102</v>
      </c>
      <c r="I29" t="s">
        <v>344</v>
      </c>
      <c r="K29" t="s">
        <v>298</v>
      </c>
      <c r="Q29" t="s">
        <v>324</v>
      </c>
      <c r="S29" t="s">
        <v>300</v>
      </c>
      <c r="T29">
        <v>52361</v>
      </c>
      <c r="U29" s="45">
        <v>46601</v>
      </c>
      <c r="W29" s="45">
        <v>27</v>
      </c>
      <c r="Z29">
        <f>VLOOKUP(AD29,mapping!B:G,5,0)</f>
        <v>430430</v>
      </c>
      <c r="AB29" t="str">
        <f>VLOOKUP(AD29,mapping!B:G,6,0)</f>
        <v>SECDIR</v>
      </c>
      <c r="AD29" t="s">
        <v>52</v>
      </c>
      <c r="AG29" s="46"/>
      <c r="AH29" s="46">
        <v>-168775</v>
      </c>
      <c r="AI29" s="46">
        <v>-45569</v>
      </c>
      <c r="AJ29" s="48"/>
      <c r="AK29" s="23"/>
      <c r="AL29" t="s">
        <v>299</v>
      </c>
      <c r="AN29" t="s">
        <v>343</v>
      </c>
    </row>
    <row r="30" spans="1:40">
      <c r="A30" t="s">
        <v>273</v>
      </c>
      <c r="B30">
        <v>4541</v>
      </c>
      <c r="C30" s="16">
        <v>46087</v>
      </c>
      <c r="E30" s="16">
        <v>46087</v>
      </c>
      <c r="F30" s="16">
        <v>46087</v>
      </c>
      <c r="G30" s="16">
        <v>46102</v>
      </c>
      <c r="I30" t="s">
        <v>344</v>
      </c>
      <c r="K30" t="s">
        <v>298</v>
      </c>
      <c r="Q30" t="s">
        <v>324</v>
      </c>
      <c r="S30" t="s">
        <v>300</v>
      </c>
      <c r="T30">
        <v>52361</v>
      </c>
      <c r="U30" s="45">
        <v>46601</v>
      </c>
      <c r="W30" s="45">
        <v>27</v>
      </c>
      <c r="Z30">
        <f>VLOOKUP(AD30,mapping!B:G,5,0)</f>
        <v>430430</v>
      </c>
      <c r="AB30" t="str">
        <f>VLOOKUP(AD30,mapping!B:G,6,0)</f>
        <v>SECDIR</v>
      </c>
      <c r="AD30" t="s">
        <v>53</v>
      </c>
      <c r="AG30" s="46"/>
      <c r="AH30" s="46">
        <v>-132714</v>
      </c>
      <c r="AI30" s="46">
        <v>-35833</v>
      </c>
      <c r="AJ30" s="48"/>
      <c r="AK30" s="23"/>
      <c r="AL30" t="s">
        <v>299</v>
      </c>
      <c r="AN30" t="s">
        <v>343</v>
      </c>
    </row>
    <row r="31" spans="1:40">
      <c r="A31" t="s">
        <v>273</v>
      </c>
      <c r="B31">
        <v>4541</v>
      </c>
      <c r="C31" s="16">
        <v>46087</v>
      </c>
      <c r="E31" s="16">
        <v>46087</v>
      </c>
      <c r="F31" s="16">
        <v>46087</v>
      </c>
      <c r="G31" s="16">
        <v>46102</v>
      </c>
      <c r="I31" t="s">
        <v>344</v>
      </c>
      <c r="K31" t="s">
        <v>298</v>
      </c>
      <c r="Q31" t="s">
        <v>324</v>
      </c>
      <c r="S31" t="s">
        <v>300</v>
      </c>
      <c r="T31">
        <v>52361</v>
      </c>
      <c r="U31" s="45">
        <v>46601</v>
      </c>
      <c r="W31" s="45">
        <v>27</v>
      </c>
      <c r="Z31">
        <f>VLOOKUP(AD31,mapping!B:G,5,0)</f>
        <v>430430</v>
      </c>
      <c r="AB31" t="str">
        <f>VLOOKUP(AD31,mapping!B:G,6,0)</f>
        <v>SECDIR</v>
      </c>
      <c r="AD31" t="s">
        <v>60</v>
      </c>
      <c r="AG31" s="46"/>
      <c r="AH31" s="46">
        <v>-115288</v>
      </c>
      <c r="AI31" s="46">
        <v>-31128</v>
      </c>
      <c r="AJ31" s="48"/>
      <c r="AK31" s="23"/>
      <c r="AL31" t="s">
        <v>299</v>
      </c>
      <c r="AN31" t="s">
        <v>343</v>
      </c>
    </row>
    <row r="32" spans="1:40">
      <c r="A32" t="s">
        <v>273</v>
      </c>
      <c r="B32">
        <v>4541</v>
      </c>
      <c r="C32" s="16">
        <v>46087</v>
      </c>
      <c r="E32" s="16">
        <v>46087</v>
      </c>
      <c r="F32" s="16">
        <v>46087</v>
      </c>
      <c r="G32" s="16">
        <v>46102</v>
      </c>
      <c r="I32" t="s">
        <v>344</v>
      </c>
      <c r="K32" t="s">
        <v>298</v>
      </c>
      <c r="Q32" t="s">
        <v>324</v>
      </c>
      <c r="S32" t="s">
        <v>300</v>
      </c>
      <c r="T32">
        <v>52361</v>
      </c>
      <c r="U32" s="45">
        <v>46601</v>
      </c>
      <c r="W32" s="45">
        <v>27</v>
      </c>
      <c r="Z32">
        <f>VLOOKUP(AD32,mapping!B:G,5,0)</f>
        <v>430430</v>
      </c>
      <c r="AB32" t="str">
        <f>VLOOKUP(AD32,mapping!B:G,6,0)</f>
        <v>SECDIR</v>
      </c>
      <c r="AD32" t="s">
        <v>57</v>
      </c>
      <c r="AG32" s="46"/>
      <c r="AH32" s="46">
        <v>-137993</v>
      </c>
      <c r="AI32" s="46">
        <v>-37258</v>
      </c>
      <c r="AJ32" s="48"/>
      <c r="AK32" s="23"/>
      <c r="AL32" t="s">
        <v>299</v>
      </c>
      <c r="AN32" t="s">
        <v>343</v>
      </c>
    </row>
    <row r="33" spans="1:40">
      <c r="A33" t="s">
        <v>273</v>
      </c>
      <c r="B33">
        <v>4541</v>
      </c>
      <c r="C33" s="16">
        <v>46087</v>
      </c>
      <c r="E33" s="16">
        <v>46087</v>
      </c>
      <c r="F33" s="16">
        <v>46087</v>
      </c>
      <c r="G33" s="16">
        <v>46102</v>
      </c>
      <c r="I33" t="s">
        <v>344</v>
      </c>
      <c r="K33" t="s">
        <v>298</v>
      </c>
      <c r="Q33" t="s">
        <v>324</v>
      </c>
      <c r="S33" t="s">
        <v>300</v>
      </c>
      <c r="T33">
        <v>52361</v>
      </c>
      <c r="U33" s="45">
        <v>46601</v>
      </c>
      <c r="W33" s="45">
        <v>27</v>
      </c>
      <c r="Z33">
        <f>VLOOKUP(AD33,mapping!B:G,5,0)</f>
        <v>430430</v>
      </c>
      <c r="AB33" t="str">
        <f>VLOOKUP(AD33,mapping!B:G,6,0)</f>
        <v>SECDIR</v>
      </c>
      <c r="AD33" t="s">
        <v>58</v>
      </c>
      <c r="AG33" s="46"/>
      <c r="AH33" s="46">
        <v>-118182</v>
      </c>
      <c r="AI33" s="46">
        <v>-31909</v>
      </c>
      <c r="AJ33" s="48"/>
      <c r="AK33" s="23"/>
      <c r="AL33" t="s">
        <v>299</v>
      </c>
      <c r="AN33" t="s">
        <v>343</v>
      </c>
    </row>
    <row r="34" spans="1:40">
      <c r="A34" t="s">
        <v>273</v>
      </c>
      <c r="B34">
        <v>4541</v>
      </c>
      <c r="C34" s="16">
        <v>46087</v>
      </c>
      <c r="E34" s="16">
        <v>46087</v>
      </c>
      <c r="F34" s="16">
        <v>46087</v>
      </c>
      <c r="G34" s="16">
        <v>46102</v>
      </c>
      <c r="I34" t="s">
        <v>344</v>
      </c>
      <c r="K34" t="s">
        <v>298</v>
      </c>
      <c r="Q34" t="s">
        <v>324</v>
      </c>
      <c r="S34" t="s">
        <v>300</v>
      </c>
      <c r="T34">
        <v>52361</v>
      </c>
      <c r="U34" s="45">
        <v>46601</v>
      </c>
      <c r="W34" s="45">
        <v>27</v>
      </c>
      <c r="Z34">
        <f>VLOOKUP(AD34,mapping!B:G,5,0)</f>
        <v>430430</v>
      </c>
      <c r="AB34" t="str">
        <f>VLOOKUP(AD34,mapping!B:G,6,0)</f>
        <v>SECDIR</v>
      </c>
      <c r="AD34" t="s">
        <v>59</v>
      </c>
      <c r="AG34" s="46"/>
      <c r="AH34" s="46">
        <v>-105350</v>
      </c>
      <c r="AI34" s="46">
        <v>-28445</v>
      </c>
      <c r="AJ34" s="48"/>
      <c r="AK34" s="23"/>
      <c r="AL34" t="s">
        <v>299</v>
      </c>
      <c r="AN34" t="s">
        <v>343</v>
      </c>
    </row>
    <row r="35" spans="1:40">
      <c r="A35" t="s">
        <v>273</v>
      </c>
      <c r="B35">
        <v>4541</v>
      </c>
      <c r="C35" s="16">
        <v>46087</v>
      </c>
      <c r="E35" s="16">
        <v>46087</v>
      </c>
      <c r="F35" s="16">
        <v>46087</v>
      </c>
      <c r="G35" s="16">
        <v>46102</v>
      </c>
      <c r="I35" t="s">
        <v>344</v>
      </c>
      <c r="K35" t="s">
        <v>298</v>
      </c>
      <c r="Q35" t="s">
        <v>324</v>
      </c>
      <c r="S35" t="s">
        <v>300</v>
      </c>
      <c r="T35">
        <v>52361</v>
      </c>
      <c r="U35" s="45">
        <v>46601</v>
      </c>
      <c r="W35" s="45">
        <v>27</v>
      </c>
      <c r="Z35">
        <f>VLOOKUP(AD35,mapping!B:G,5,0)</f>
        <v>430440</v>
      </c>
      <c r="AB35" t="str">
        <f>VLOOKUP(AD35,mapping!B:G,6,0)</f>
        <v>SECDIR</v>
      </c>
      <c r="AD35" t="s">
        <v>61</v>
      </c>
      <c r="AG35" s="46"/>
      <c r="AH35" s="46">
        <v>-141130</v>
      </c>
      <c r="AI35" s="46">
        <v>-38105</v>
      </c>
      <c r="AJ35" s="48"/>
      <c r="AK35" s="23"/>
      <c r="AL35" t="s">
        <v>299</v>
      </c>
      <c r="AN35" t="s">
        <v>343</v>
      </c>
    </row>
    <row r="36" spans="1:40">
      <c r="A36" t="s">
        <v>273</v>
      </c>
      <c r="B36">
        <v>4541</v>
      </c>
      <c r="C36" s="16">
        <v>46087</v>
      </c>
      <c r="E36" s="16">
        <v>46087</v>
      </c>
      <c r="F36" s="16">
        <v>46087</v>
      </c>
      <c r="G36" s="16">
        <v>46102</v>
      </c>
      <c r="I36" t="s">
        <v>344</v>
      </c>
      <c r="K36" t="s">
        <v>298</v>
      </c>
      <c r="Q36" t="s">
        <v>324</v>
      </c>
      <c r="S36" t="s">
        <v>300</v>
      </c>
      <c r="T36">
        <v>52361</v>
      </c>
      <c r="U36" s="45">
        <v>46601</v>
      </c>
      <c r="W36" s="45">
        <v>27</v>
      </c>
      <c r="Z36">
        <f>VLOOKUP(AD36,mapping!B:G,5,0)</f>
        <v>430440</v>
      </c>
      <c r="AB36" t="str">
        <f>VLOOKUP(AD36,mapping!B:G,6,0)</f>
        <v>SECDIR</v>
      </c>
      <c r="AD36" t="s">
        <v>62</v>
      </c>
      <c r="AG36" s="46"/>
      <c r="AH36" s="46">
        <v>-141223</v>
      </c>
      <c r="AI36" s="46">
        <v>-38130</v>
      </c>
      <c r="AJ36" s="48"/>
      <c r="AK36" s="23"/>
      <c r="AL36" t="s">
        <v>299</v>
      </c>
      <c r="AN36" t="s">
        <v>343</v>
      </c>
    </row>
    <row r="37" spans="1:40">
      <c r="A37" t="s">
        <v>273</v>
      </c>
      <c r="B37">
        <v>4541</v>
      </c>
      <c r="C37" s="16">
        <v>46087</v>
      </c>
      <c r="E37" s="16">
        <v>46087</v>
      </c>
      <c r="F37" s="16">
        <v>46087</v>
      </c>
      <c r="G37" s="16">
        <v>46102</v>
      </c>
      <c r="I37" t="s">
        <v>344</v>
      </c>
      <c r="K37" t="s">
        <v>298</v>
      </c>
      <c r="Q37" t="s">
        <v>324</v>
      </c>
      <c r="S37" t="s">
        <v>300</v>
      </c>
      <c r="T37">
        <v>52361</v>
      </c>
      <c r="U37" s="45">
        <v>46601</v>
      </c>
      <c r="W37" s="45">
        <v>27</v>
      </c>
      <c r="Z37">
        <f>VLOOKUP(AD37,mapping!B:G,5,0)</f>
        <v>430430</v>
      </c>
      <c r="AB37" t="str">
        <f>VLOOKUP(AD37,mapping!B:G,6,0)</f>
        <v>SECDIR</v>
      </c>
      <c r="AD37" t="s">
        <v>66</v>
      </c>
      <c r="AG37" s="46"/>
      <c r="AH37" s="46">
        <v>-126656</v>
      </c>
      <c r="AI37" s="46">
        <v>-34197</v>
      </c>
      <c r="AJ37" s="48"/>
      <c r="AK37" s="23"/>
      <c r="AL37" t="s">
        <v>299</v>
      </c>
      <c r="AN37" t="s">
        <v>343</v>
      </c>
    </row>
    <row r="38" spans="1:40">
      <c r="A38" t="s">
        <v>273</v>
      </c>
      <c r="B38">
        <v>4541</v>
      </c>
      <c r="C38" s="16">
        <v>46087</v>
      </c>
      <c r="E38" s="16">
        <v>46087</v>
      </c>
      <c r="F38" s="16">
        <v>46087</v>
      </c>
      <c r="G38" s="16">
        <v>46102</v>
      </c>
      <c r="I38" t="s">
        <v>344</v>
      </c>
      <c r="K38" t="s">
        <v>298</v>
      </c>
      <c r="Q38" t="s">
        <v>324</v>
      </c>
      <c r="S38" t="s">
        <v>300</v>
      </c>
      <c r="T38">
        <v>52361</v>
      </c>
      <c r="U38" s="45">
        <v>46601</v>
      </c>
      <c r="W38" s="45">
        <v>27</v>
      </c>
      <c r="Z38">
        <f>VLOOKUP(AD38,mapping!B:G,5,0)</f>
        <v>430430</v>
      </c>
      <c r="AB38" t="str">
        <f>VLOOKUP(AD38,mapping!B:G,6,0)</f>
        <v>SECDIR</v>
      </c>
      <c r="AD38" t="s">
        <v>67</v>
      </c>
      <c r="AG38" s="46"/>
      <c r="AH38" s="46">
        <v>-124237</v>
      </c>
      <c r="AI38" s="46">
        <v>-33544</v>
      </c>
      <c r="AJ38" s="48"/>
      <c r="AK38" s="23"/>
      <c r="AL38" t="s">
        <v>299</v>
      </c>
      <c r="AN38" t="s">
        <v>343</v>
      </c>
    </row>
    <row r="39" spans="1:40">
      <c r="A39" t="s">
        <v>273</v>
      </c>
      <c r="B39">
        <v>4541</v>
      </c>
      <c r="C39" s="16">
        <v>46087</v>
      </c>
      <c r="E39" s="16">
        <v>46087</v>
      </c>
      <c r="F39" s="16">
        <v>46087</v>
      </c>
      <c r="G39" s="16">
        <v>46102</v>
      </c>
      <c r="I39" t="s">
        <v>344</v>
      </c>
      <c r="K39" t="s">
        <v>298</v>
      </c>
      <c r="Q39" t="s">
        <v>324</v>
      </c>
      <c r="S39" t="s">
        <v>300</v>
      </c>
      <c r="T39">
        <v>52361</v>
      </c>
      <c r="U39" s="45">
        <v>46601</v>
      </c>
      <c r="W39" s="45">
        <v>27</v>
      </c>
      <c r="Z39">
        <f>VLOOKUP(AD39,mapping!B:G,5,0)</f>
        <v>430440</v>
      </c>
      <c r="AB39" t="str">
        <f>VLOOKUP(AD39,mapping!B:G,6,0)</f>
        <v>SECDIR</v>
      </c>
      <c r="AD39" t="s">
        <v>295</v>
      </c>
      <c r="AG39" s="46"/>
      <c r="AH39" s="46">
        <v>-88500</v>
      </c>
      <c r="AI39" s="46">
        <v>-23895</v>
      </c>
      <c r="AJ39" s="48"/>
      <c r="AK39" s="23"/>
      <c r="AL39" t="s">
        <v>299</v>
      </c>
      <c r="AN39" t="s">
        <v>343</v>
      </c>
    </row>
    <row r="40" spans="1:40">
      <c r="A40" t="s">
        <v>273</v>
      </c>
      <c r="B40">
        <v>4541</v>
      </c>
      <c r="C40" s="16">
        <v>46087</v>
      </c>
      <c r="E40" s="16">
        <v>46087</v>
      </c>
      <c r="F40" s="16">
        <v>46087</v>
      </c>
      <c r="G40" s="16">
        <v>46102</v>
      </c>
      <c r="I40" t="s">
        <v>344</v>
      </c>
      <c r="K40" t="s">
        <v>298</v>
      </c>
      <c r="Q40" t="s">
        <v>324</v>
      </c>
      <c r="S40" t="s">
        <v>300</v>
      </c>
      <c r="T40">
        <v>52361</v>
      </c>
      <c r="U40" s="45">
        <v>46601</v>
      </c>
      <c r="W40" s="45">
        <v>27</v>
      </c>
      <c r="Z40">
        <f>VLOOKUP(AD40,mapping!B:G,5,0)</f>
        <v>430430</v>
      </c>
      <c r="AB40" t="str">
        <f>VLOOKUP(AD40,mapping!B:G,6,0)</f>
        <v>SECDIR</v>
      </c>
      <c r="AD40" t="s">
        <v>296</v>
      </c>
      <c r="AG40" s="46"/>
      <c r="AH40" s="46">
        <v>-77019</v>
      </c>
      <c r="AI40" s="46">
        <v>-20795</v>
      </c>
      <c r="AJ40" s="48"/>
      <c r="AK40" s="23"/>
      <c r="AL40" t="s">
        <v>299</v>
      </c>
      <c r="AN40" t="s">
        <v>343</v>
      </c>
    </row>
    <row r="41" spans="1:40">
      <c r="A41" t="s">
        <v>273</v>
      </c>
      <c r="B41">
        <v>4541</v>
      </c>
      <c r="C41" s="16">
        <v>46087</v>
      </c>
      <c r="E41" s="16">
        <v>46087</v>
      </c>
      <c r="F41" s="16">
        <v>46087</v>
      </c>
      <c r="G41" s="16">
        <v>46102</v>
      </c>
      <c r="I41" t="s">
        <v>344</v>
      </c>
      <c r="K41" t="s">
        <v>298</v>
      </c>
      <c r="Q41" t="s">
        <v>324</v>
      </c>
      <c r="S41" t="s">
        <v>300</v>
      </c>
      <c r="T41">
        <v>52361</v>
      </c>
      <c r="U41" s="45">
        <v>46601</v>
      </c>
      <c r="W41" s="45">
        <v>27</v>
      </c>
      <c r="Z41">
        <f>VLOOKUP(AD41,mapping!B:G,5,0)</f>
        <v>430440</v>
      </c>
      <c r="AB41" t="str">
        <f>VLOOKUP(AD41,mapping!B:G,6,0)</f>
        <v>SECDIR</v>
      </c>
      <c r="AD41" t="s">
        <v>297</v>
      </c>
      <c r="AG41" s="46"/>
      <c r="AH41" s="46">
        <v>-126861</v>
      </c>
      <c r="AI41" s="46">
        <v>-34252</v>
      </c>
      <c r="AJ41" s="23"/>
      <c r="AK41" s="23"/>
      <c r="AL41" t="s">
        <v>299</v>
      </c>
      <c r="AN41" t="s">
        <v>343</v>
      </c>
    </row>
    <row r="42" spans="1:40">
      <c r="U42" s="45"/>
      <c r="W42" s="45"/>
      <c r="AG42" s="46"/>
      <c r="AH42" s="46"/>
      <c r="AI42" s="46"/>
      <c r="AJ42" s="23"/>
      <c r="AK42" s="23"/>
    </row>
    <row r="43" spans="1:40">
      <c r="U43" s="45"/>
      <c r="W43" s="45"/>
      <c r="AG43" s="46"/>
      <c r="AH43" s="46"/>
      <c r="AI43" s="46"/>
      <c r="AJ43" s="23"/>
      <c r="AK43" s="23"/>
    </row>
    <row r="44" spans="1:40">
      <c r="AH44" s="46"/>
      <c r="AI44" s="46"/>
    </row>
    <row r="45" spans="1:40">
      <c r="AH45" s="46"/>
      <c r="AI45" s="46"/>
    </row>
  </sheetData>
  <autoFilter ref="A4:AY4" xr:uid="{100EF71E-1389-42CF-AB86-4FAFE8D63B67}"/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24404-93CE-4527-81FF-9ED62DB0BC4E}">
  <sheetPr codeName="shOutput"/>
  <dimension ref="A1:AY55"/>
  <sheetViews>
    <sheetView workbookViewId="0">
      <selection activeCell="J19" sqref="J19"/>
    </sheetView>
  </sheetViews>
  <sheetFormatPr defaultRowHeight="13.8"/>
  <cols>
    <col min="1" max="1" width="9.3984375" bestFit="1" customWidth="1"/>
    <col min="2" max="2" width="16.3984375" bestFit="1" customWidth="1"/>
    <col min="3" max="3" width="10.09765625" bestFit="1" customWidth="1"/>
    <col min="5" max="7" width="10.09765625" bestFit="1" customWidth="1"/>
    <col min="8" max="8" width="5.19921875" bestFit="1" customWidth="1"/>
    <col min="9" max="9" width="12" bestFit="1" customWidth="1"/>
    <col min="10" max="10" width="6" bestFit="1" customWidth="1"/>
    <col min="11" max="11" width="15.59765625" bestFit="1" customWidth="1"/>
    <col min="12" max="12" width="6.09765625" bestFit="1" customWidth="1"/>
    <col min="13" max="14" width="5.19921875" bestFit="1" customWidth="1"/>
    <col min="15" max="15" width="7.19921875" bestFit="1" customWidth="1"/>
    <col min="16" max="16" width="7.09765625" bestFit="1" customWidth="1"/>
    <col min="17" max="17" width="26.796875" bestFit="1" customWidth="1"/>
    <col min="18" max="18" width="13.59765625" bestFit="1" customWidth="1"/>
    <col min="19" max="19" width="35.8984375" bestFit="1" customWidth="1"/>
    <col min="20" max="21" width="16.3984375" bestFit="1" customWidth="1"/>
    <col min="22" max="22" width="13.8984375" bestFit="1" customWidth="1"/>
    <col min="23" max="24" width="7.69921875" bestFit="1" customWidth="1"/>
    <col min="25" max="25" width="13" bestFit="1" customWidth="1"/>
    <col min="26" max="26" width="9.09765625" bestFit="1" customWidth="1"/>
    <col min="27" max="27" width="6.09765625" bestFit="1" customWidth="1"/>
    <col min="28" max="28" width="9.09765625" bestFit="1" customWidth="1"/>
    <col min="29" max="29" width="6.09765625" bestFit="1" customWidth="1"/>
    <col min="30" max="30" width="9.09765625" bestFit="1" customWidth="1"/>
    <col min="31" max="33" width="6.09765625" bestFit="1" customWidth="1"/>
    <col min="34" max="34" width="18" bestFit="1" customWidth="1"/>
    <col min="35" max="35" width="22.69921875" bestFit="1" customWidth="1"/>
    <col min="36" max="36" width="18.8984375" bestFit="1" customWidth="1"/>
    <col min="37" max="37" width="23.59765625" bestFit="1" customWidth="1"/>
    <col min="38" max="38" width="18.8984375" bestFit="1" customWidth="1"/>
    <col min="39" max="39" width="7.09765625" bestFit="1" customWidth="1"/>
    <col min="40" max="40" width="12.3984375" bestFit="1" customWidth="1"/>
    <col min="41" max="41" width="8.3984375" bestFit="1" customWidth="1"/>
    <col min="42" max="42" width="10.796875" bestFit="1" customWidth="1"/>
    <col min="43" max="43" width="9.19921875" bestFit="1" customWidth="1"/>
    <col min="44" max="44" width="7.09765625" bestFit="1" customWidth="1"/>
    <col min="45" max="45" width="11.3984375" bestFit="1" customWidth="1"/>
    <col min="46" max="48" width="8.69921875" bestFit="1" customWidth="1"/>
    <col min="49" max="49" width="10.796875" bestFit="1" customWidth="1"/>
    <col min="50" max="50" width="8.69921875" bestFit="1" customWidth="1"/>
    <col min="51" max="51" width="13.3984375" bestFit="1" customWidth="1"/>
  </cols>
  <sheetData>
    <row r="1" spans="1:51">
      <c r="A1" s="6" t="s">
        <v>195</v>
      </c>
      <c r="B1" s="6" t="s">
        <v>195</v>
      </c>
      <c r="C1" s="3" t="s">
        <v>196</v>
      </c>
      <c r="D1" s="3" t="s">
        <v>196</v>
      </c>
      <c r="E1" s="3" t="s">
        <v>196</v>
      </c>
      <c r="F1" s="3" t="s">
        <v>196</v>
      </c>
      <c r="G1" s="3" t="s">
        <v>196</v>
      </c>
      <c r="H1" s="6" t="s">
        <v>195</v>
      </c>
      <c r="I1" s="21" t="s">
        <v>195</v>
      </c>
      <c r="J1" s="6" t="s">
        <v>195</v>
      </c>
      <c r="K1" s="6" t="s">
        <v>195</v>
      </c>
      <c r="L1" s="6" t="s">
        <v>195</v>
      </c>
      <c r="M1" s="6" t="s">
        <v>195</v>
      </c>
      <c r="N1" s="6" t="s">
        <v>195</v>
      </c>
      <c r="O1" s="6" t="s">
        <v>195</v>
      </c>
      <c r="P1" s="6" t="s">
        <v>195</v>
      </c>
      <c r="Q1" s="6" t="s">
        <v>195</v>
      </c>
      <c r="R1" s="6" t="s">
        <v>195</v>
      </c>
      <c r="S1" s="6" t="s">
        <v>195</v>
      </c>
      <c r="T1" s="6" t="s">
        <v>195</v>
      </c>
      <c r="U1" s="6" t="s">
        <v>195</v>
      </c>
      <c r="V1" s="6" t="s">
        <v>195</v>
      </c>
      <c r="W1" s="6" t="s">
        <v>195</v>
      </c>
      <c r="X1" s="6" t="s">
        <v>195</v>
      </c>
      <c r="Y1" s="8" t="s">
        <v>197</v>
      </c>
      <c r="Z1" s="6" t="s">
        <v>195</v>
      </c>
      <c r="AA1" s="6" t="s">
        <v>195</v>
      </c>
      <c r="AB1" s="6" t="s">
        <v>195</v>
      </c>
      <c r="AC1" s="6" t="s">
        <v>195</v>
      </c>
      <c r="AD1" s="6" t="s">
        <v>195</v>
      </c>
      <c r="AE1" s="6" t="s">
        <v>195</v>
      </c>
      <c r="AF1" s="6" t="s">
        <v>195</v>
      </c>
      <c r="AG1" s="6" t="s">
        <v>195</v>
      </c>
      <c r="AH1" s="4" t="s">
        <v>197</v>
      </c>
      <c r="AI1" s="4" t="s">
        <v>197</v>
      </c>
      <c r="AJ1" s="4" t="s">
        <v>197</v>
      </c>
      <c r="AK1" s="4" t="s">
        <v>197</v>
      </c>
      <c r="AL1" s="6" t="s">
        <v>195</v>
      </c>
      <c r="AM1" s="5" t="s">
        <v>197</v>
      </c>
      <c r="AN1" s="6" t="s">
        <v>195</v>
      </c>
      <c r="AO1" s="6" t="s">
        <v>195</v>
      </c>
      <c r="AP1" s="6" t="s">
        <v>195</v>
      </c>
      <c r="AQ1" s="6" t="s">
        <v>195</v>
      </c>
      <c r="AR1" s="6" t="s">
        <v>195</v>
      </c>
      <c r="AS1" s="13" t="s">
        <v>197</v>
      </c>
      <c r="AT1" s="6" t="s">
        <v>195</v>
      </c>
      <c r="AU1" s="6" t="s">
        <v>195</v>
      </c>
      <c r="AV1" s="4" t="s">
        <v>197</v>
      </c>
      <c r="AW1" s="6" t="s">
        <v>195</v>
      </c>
      <c r="AX1" s="6" t="s">
        <v>195</v>
      </c>
      <c r="AY1" s="3" t="s">
        <v>196</v>
      </c>
    </row>
    <row r="2" spans="1:51">
      <c r="A2" s="6" t="s">
        <v>198</v>
      </c>
      <c r="B2" s="6" t="s">
        <v>199</v>
      </c>
      <c r="C2" s="3" t="s">
        <v>200</v>
      </c>
      <c r="D2" s="3" t="s">
        <v>200</v>
      </c>
      <c r="E2" s="3" t="s">
        <v>200</v>
      </c>
      <c r="F2" s="3" t="s">
        <v>200</v>
      </c>
      <c r="G2" s="3" t="s">
        <v>200</v>
      </c>
      <c r="H2" s="6" t="s">
        <v>201</v>
      </c>
      <c r="I2" s="21" t="s">
        <v>201</v>
      </c>
      <c r="J2" s="6" t="s">
        <v>199</v>
      </c>
      <c r="K2" s="6" t="s">
        <v>202</v>
      </c>
      <c r="L2" s="6" t="s">
        <v>199</v>
      </c>
      <c r="M2" s="6" t="s">
        <v>203</v>
      </c>
      <c r="N2" s="6" t="s">
        <v>204</v>
      </c>
      <c r="O2" s="6" t="s">
        <v>205</v>
      </c>
      <c r="P2" s="6" t="s">
        <v>206</v>
      </c>
      <c r="Q2" s="6" t="s">
        <v>207</v>
      </c>
      <c r="R2" s="6" t="s">
        <v>204</v>
      </c>
      <c r="S2" s="6" t="s">
        <v>208</v>
      </c>
      <c r="T2" s="6" t="s">
        <v>199</v>
      </c>
      <c r="U2" s="6" t="s">
        <v>199</v>
      </c>
      <c r="V2" s="6" t="s">
        <v>199</v>
      </c>
      <c r="W2" s="6" t="s">
        <v>209</v>
      </c>
      <c r="X2" s="6" t="s">
        <v>209</v>
      </c>
      <c r="Y2" s="8" t="s">
        <v>210</v>
      </c>
      <c r="Z2" s="6" t="s">
        <v>199</v>
      </c>
      <c r="AA2" s="6" t="s">
        <v>211</v>
      </c>
      <c r="AB2" s="6" t="s">
        <v>199</v>
      </c>
      <c r="AC2" s="6" t="s">
        <v>211</v>
      </c>
      <c r="AD2" s="6" t="s">
        <v>199</v>
      </c>
      <c r="AE2" s="6" t="s">
        <v>211</v>
      </c>
      <c r="AF2" s="6" t="s">
        <v>199</v>
      </c>
      <c r="AG2" s="6" t="s">
        <v>211</v>
      </c>
      <c r="AH2" s="4" t="s">
        <v>212</v>
      </c>
      <c r="AI2" s="4" t="s">
        <v>212</v>
      </c>
      <c r="AJ2" s="4" t="s">
        <v>212</v>
      </c>
      <c r="AK2" s="4" t="s">
        <v>212</v>
      </c>
      <c r="AL2" s="6" t="s">
        <v>213</v>
      </c>
      <c r="AM2" s="5" t="s">
        <v>214</v>
      </c>
      <c r="AN2" s="6" t="s">
        <v>208</v>
      </c>
      <c r="AO2" s="6" t="s">
        <v>209</v>
      </c>
      <c r="AP2" s="6" t="s">
        <v>201</v>
      </c>
      <c r="AQ2" s="6" t="s">
        <v>208</v>
      </c>
      <c r="AR2" s="6" t="s">
        <v>199</v>
      </c>
      <c r="AS2" s="13" t="s">
        <v>215</v>
      </c>
      <c r="AT2" s="6" t="s">
        <v>199</v>
      </c>
      <c r="AU2" s="6" t="s">
        <v>199</v>
      </c>
      <c r="AV2" s="4" t="s">
        <v>212</v>
      </c>
      <c r="AW2" s="6" t="s">
        <v>206</v>
      </c>
      <c r="AX2" s="6" t="s">
        <v>208</v>
      </c>
      <c r="AY2" s="3" t="s">
        <v>200</v>
      </c>
    </row>
    <row r="3" spans="1:51">
      <c r="A3" s="9" t="s">
        <v>216</v>
      </c>
      <c r="B3" s="9" t="s">
        <v>217</v>
      </c>
      <c r="C3" s="15" t="s">
        <v>216</v>
      </c>
      <c r="D3" s="15"/>
      <c r="E3" s="15" t="s">
        <v>216</v>
      </c>
      <c r="F3" s="15" t="s">
        <v>216</v>
      </c>
      <c r="G3" s="15" t="s">
        <v>216</v>
      </c>
      <c r="H3" s="9"/>
      <c r="I3" s="22" t="s">
        <v>216</v>
      </c>
      <c r="J3" s="9"/>
      <c r="K3" s="9" t="s">
        <v>216</v>
      </c>
      <c r="L3" s="9"/>
      <c r="M3" s="9"/>
      <c r="N3" s="9"/>
      <c r="O3" s="9"/>
      <c r="P3" s="9"/>
      <c r="Q3" s="9"/>
      <c r="R3" s="9"/>
      <c r="S3" s="9"/>
      <c r="T3" s="9" t="s">
        <v>217</v>
      </c>
      <c r="U3" s="9" t="s">
        <v>217</v>
      </c>
      <c r="V3" s="9"/>
      <c r="W3" s="9" t="s">
        <v>216</v>
      </c>
      <c r="X3" s="9"/>
      <c r="Y3" s="10"/>
      <c r="Z3" s="9"/>
      <c r="AA3" s="9"/>
      <c r="AB3" s="9"/>
      <c r="AC3" s="9"/>
      <c r="AD3" s="9"/>
      <c r="AE3" s="9"/>
      <c r="AF3" s="9"/>
      <c r="AG3" s="9"/>
      <c r="AH3" s="11" t="s">
        <v>218</v>
      </c>
      <c r="AI3" s="11" t="s">
        <v>219</v>
      </c>
      <c r="AJ3" s="11" t="s">
        <v>220</v>
      </c>
      <c r="AK3" s="11" t="s">
        <v>221</v>
      </c>
      <c r="AL3" s="9" t="s">
        <v>220</v>
      </c>
      <c r="AM3" s="12"/>
      <c r="AN3" s="9"/>
      <c r="AO3" s="9"/>
      <c r="AP3" s="9"/>
      <c r="AQ3" s="9"/>
      <c r="AR3" s="9"/>
      <c r="AS3" s="14"/>
      <c r="AT3" s="9"/>
      <c r="AU3" s="9"/>
      <c r="AV3" s="11"/>
      <c r="AW3" s="9"/>
      <c r="AX3" s="9"/>
      <c r="AY3" s="15"/>
    </row>
    <row r="4" spans="1:51" ht="20.399999999999999">
      <c r="A4" s="7" t="s">
        <v>222</v>
      </c>
      <c r="B4" s="7" t="s">
        <v>223</v>
      </c>
      <c r="C4" s="7" t="s">
        <v>224</v>
      </c>
      <c r="D4" s="7" t="s">
        <v>225</v>
      </c>
      <c r="E4" s="7" t="s">
        <v>226</v>
      </c>
      <c r="F4" s="7" t="s">
        <v>227</v>
      </c>
      <c r="G4" s="7" t="s">
        <v>228</v>
      </c>
      <c r="H4" s="7" t="s">
        <v>229</v>
      </c>
      <c r="I4" s="7" t="s">
        <v>230</v>
      </c>
      <c r="J4" s="7" t="s">
        <v>231</v>
      </c>
      <c r="K4" s="7" t="s">
        <v>232</v>
      </c>
      <c r="L4" s="7" t="s">
        <v>233</v>
      </c>
      <c r="M4" s="7" t="s">
        <v>234</v>
      </c>
      <c r="N4" s="7" t="s">
        <v>235</v>
      </c>
      <c r="O4" s="7" t="s">
        <v>236</v>
      </c>
      <c r="P4" s="7" t="s">
        <v>237</v>
      </c>
      <c r="Q4" s="7" t="s">
        <v>238</v>
      </c>
      <c r="R4" s="7" t="s">
        <v>239</v>
      </c>
      <c r="S4" s="7" t="s">
        <v>240</v>
      </c>
      <c r="T4" s="7" t="s">
        <v>241</v>
      </c>
      <c r="U4" s="7" t="s">
        <v>242</v>
      </c>
      <c r="V4" s="7" t="s">
        <v>243</v>
      </c>
      <c r="W4" s="7" t="s">
        <v>244</v>
      </c>
      <c r="X4" s="7" t="s">
        <v>245</v>
      </c>
      <c r="Y4" s="7" t="s">
        <v>246</v>
      </c>
      <c r="Z4" s="7" t="s">
        <v>247</v>
      </c>
      <c r="AA4" s="7" t="s">
        <v>248</v>
      </c>
      <c r="AB4" s="7" t="s">
        <v>249</v>
      </c>
      <c r="AC4" s="7" t="s">
        <v>250</v>
      </c>
      <c r="AD4" s="7" t="s">
        <v>251</v>
      </c>
      <c r="AE4" s="7" t="s">
        <v>252</v>
      </c>
      <c r="AF4" s="7" t="s">
        <v>253</v>
      </c>
      <c r="AG4" s="7" t="s">
        <v>254</v>
      </c>
      <c r="AH4" s="7" t="s">
        <v>255</v>
      </c>
      <c r="AI4" s="7" t="s">
        <v>256</v>
      </c>
      <c r="AJ4" s="7" t="s">
        <v>257</v>
      </c>
      <c r="AK4" s="7" t="s">
        <v>258</v>
      </c>
      <c r="AL4" s="7" t="s">
        <v>259</v>
      </c>
      <c r="AM4" s="7" t="s">
        <v>260</v>
      </c>
      <c r="AN4" s="7" t="s">
        <v>261</v>
      </c>
      <c r="AO4" s="7" t="s">
        <v>262</v>
      </c>
      <c r="AP4" s="7" t="s">
        <v>263</v>
      </c>
      <c r="AQ4" s="7" t="s">
        <v>264</v>
      </c>
      <c r="AR4" s="7" t="s">
        <v>265</v>
      </c>
      <c r="AS4" s="7" t="s">
        <v>266</v>
      </c>
      <c r="AT4" s="7" t="s">
        <v>267</v>
      </c>
      <c r="AU4" s="7" t="s">
        <v>268</v>
      </c>
      <c r="AV4" s="7" t="s">
        <v>269</v>
      </c>
      <c r="AW4" s="7" t="s">
        <v>270</v>
      </c>
      <c r="AX4" s="7" t="s">
        <v>271</v>
      </c>
      <c r="AY4" s="7" t="s">
        <v>272</v>
      </c>
    </row>
    <row r="5" spans="1:51">
      <c r="A5" t="s">
        <v>273</v>
      </c>
      <c r="B5">
        <v>4541</v>
      </c>
      <c r="C5" s="16">
        <v>46087</v>
      </c>
      <c r="E5" s="16">
        <v>46087</v>
      </c>
      <c r="F5" s="16">
        <v>46087</v>
      </c>
      <c r="G5" s="16">
        <v>46102</v>
      </c>
      <c r="I5" t="s">
        <v>344</v>
      </c>
      <c r="K5" t="s">
        <v>298</v>
      </c>
      <c r="Q5" t="s">
        <v>324</v>
      </c>
      <c r="S5" t="s">
        <v>300</v>
      </c>
      <c r="T5">
        <v>52361</v>
      </c>
      <c r="U5" s="45">
        <v>46601</v>
      </c>
      <c r="W5" s="45">
        <v>27</v>
      </c>
      <c r="Z5">
        <f>VLOOKUP(AD5,mapping!B:G,5,0)</f>
        <v>430440</v>
      </c>
      <c r="AB5" t="str">
        <f>VLOOKUP(AD5,mapping!B:G,6,0)</f>
        <v>SECDIR</v>
      </c>
      <c r="AD5" t="s">
        <v>91</v>
      </c>
      <c r="AH5" s="46">
        <v>-75080</v>
      </c>
      <c r="AI5" s="46">
        <v>-20272</v>
      </c>
      <c r="AJ5" s="48"/>
      <c r="AK5" s="23"/>
      <c r="AL5" t="s">
        <v>299</v>
      </c>
      <c r="AN5" t="s">
        <v>343</v>
      </c>
    </row>
    <row r="6" spans="1:51">
      <c r="A6" t="s">
        <v>273</v>
      </c>
      <c r="B6">
        <v>4541</v>
      </c>
      <c r="C6" s="16">
        <v>46087</v>
      </c>
      <c r="E6" s="16">
        <v>46087</v>
      </c>
      <c r="F6" s="16">
        <v>46087</v>
      </c>
      <c r="G6" s="16">
        <v>46102</v>
      </c>
      <c r="I6" t="s">
        <v>344</v>
      </c>
      <c r="K6" t="s">
        <v>298</v>
      </c>
      <c r="Q6" t="s">
        <v>324</v>
      </c>
      <c r="S6" t="s">
        <v>300</v>
      </c>
      <c r="T6">
        <v>52361</v>
      </c>
      <c r="U6" s="45">
        <v>46601</v>
      </c>
      <c r="W6" s="45">
        <v>27</v>
      </c>
      <c r="Z6">
        <f>VLOOKUP(AD6,mapping!B:G,5,0)</f>
        <v>430430</v>
      </c>
      <c r="AB6" t="str">
        <f>VLOOKUP(AD6,mapping!B:G,6,0)</f>
        <v>SECDIR</v>
      </c>
      <c r="AD6" t="s">
        <v>136</v>
      </c>
      <c r="AH6" s="46">
        <v>-62133</v>
      </c>
      <c r="AI6" s="46">
        <v>-16776</v>
      </c>
      <c r="AJ6" s="48"/>
      <c r="AK6" s="23"/>
      <c r="AL6" t="s">
        <v>299</v>
      </c>
      <c r="AN6" t="s">
        <v>343</v>
      </c>
    </row>
    <row r="7" spans="1:51">
      <c r="A7" t="s">
        <v>273</v>
      </c>
      <c r="B7">
        <v>4541</v>
      </c>
      <c r="C7" s="16">
        <v>46087</v>
      </c>
      <c r="E7" s="16">
        <v>46087</v>
      </c>
      <c r="F7" s="16">
        <v>46087</v>
      </c>
      <c r="G7" s="16">
        <v>46102</v>
      </c>
      <c r="I7" t="s">
        <v>344</v>
      </c>
      <c r="K7" t="s">
        <v>298</v>
      </c>
      <c r="Q7" t="s">
        <v>324</v>
      </c>
      <c r="S7" t="s">
        <v>300</v>
      </c>
      <c r="T7">
        <v>52361</v>
      </c>
      <c r="U7" s="45">
        <v>46601</v>
      </c>
      <c r="W7" s="45">
        <v>27</v>
      </c>
      <c r="Z7">
        <f>VLOOKUP(AD7,mapping!B:G,5,0)</f>
        <v>430430</v>
      </c>
      <c r="AB7" t="str">
        <f>VLOOKUP(AD7,mapping!B:G,6,0)</f>
        <v>SECDIR</v>
      </c>
      <c r="AD7" t="s">
        <v>43</v>
      </c>
      <c r="AH7" s="46">
        <v>-73150</v>
      </c>
      <c r="AI7" s="46">
        <v>-19750</v>
      </c>
      <c r="AJ7" s="48"/>
      <c r="AK7" s="23"/>
      <c r="AL7" t="s">
        <v>299</v>
      </c>
      <c r="AN7" t="s">
        <v>343</v>
      </c>
    </row>
    <row r="8" spans="1:51">
      <c r="A8" t="s">
        <v>273</v>
      </c>
      <c r="B8">
        <v>4541</v>
      </c>
      <c r="C8" s="16">
        <v>46087</v>
      </c>
      <c r="E8" s="16">
        <v>46087</v>
      </c>
      <c r="F8" s="16">
        <v>46087</v>
      </c>
      <c r="G8" s="16">
        <v>46102</v>
      </c>
      <c r="I8" t="s">
        <v>344</v>
      </c>
      <c r="K8" t="s">
        <v>298</v>
      </c>
      <c r="Q8" t="s">
        <v>324</v>
      </c>
      <c r="S8" t="s">
        <v>300</v>
      </c>
      <c r="T8">
        <v>52361</v>
      </c>
      <c r="U8" s="45">
        <v>46601</v>
      </c>
      <c r="W8" s="45">
        <v>27</v>
      </c>
      <c r="Z8">
        <f>VLOOKUP(AD8,mapping!B:G,5,0)</f>
        <v>430440</v>
      </c>
      <c r="AB8" t="str">
        <f>VLOOKUP(AD8,mapping!B:G,6,0)</f>
        <v>SECDIR</v>
      </c>
      <c r="AD8" t="s">
        <v>97</v>
      </c>
      <c r="AH8" s="46">
        <v>-62625</v>
      </c>
      <c r="AI8" s="46">
        <v>-16909</v>
      </c>
      <c r="AJ8" s="48"/>
      <c r="AK8" s="23"/>
      <c r="AL8" t="s">
        <v>299</v>
      </c>
      <c r="AN8" t="s">
        <v>343</v>
      </c>
    </row>
    <row r="9" spans="1:51">
      <c r="A9" t="s">
        <v>273</v>
      </c>
      <c r="B9">
        <v>4541</v>
      </c>
      <c r="C9" s="16">
        <v>46087</v>
      </c>
      <c r="E9" s="16">
        <v>46087</v>
      </c>
      <c r="F9" s="16">
        <v>46087</v>
      </c>
      <c r="G9" s="16">
        <v>46102</v>
      </c>
      <c r="I9" t="s">
        <v>344</v>
      </c>
      <c r="K9" t="s">
        <v>298</v>
      </c>
      <c r="Q9" t="s">
        <v>324</v>
      </c>
      <c r="S9" t="s">
        <v>300</v>
      </c>
      <c r="T9">
        <v>52361</v>
      </c>
      <c r="U9" s="45">
        <v>46601</v>
      </c>
      <c r="W9" s="45">
        <v>27</v>
      </c>
      <c r="Z9">
        <f>VLOOKUP(AD9,mapping!B:G,5,0)</f>
        <v>430440</v>
      </c>
      <c r="AB9" t="str">
        <f>VLOOKUP(AD9,mapping!B:G,6,0)</f>
        <v>SECDIR</v>
      </c>
      <c r="AD9" t="s">
        <v>96</v>
      </c>
      <c r="AH9" s="46">
        <v>-73497</v>
      </c>
      <c r="AI9" s="46">
        <v>-19844</v>
      </c>
      <c r="AJ9" s="48"/>
      <c r="AK9" s="23"/>
      <c r="AL9" t="s">
        <v>299</v>
      </c>
      <c r="AN9" t="s">
        <v>343</v>
      </c>
    </row>
    <row r="10" spans="1:51">
      <c r="A10" t="s">
        <v>273</v>
      </c>
      <c r="B10">
        <v>4541</v>
      </c>
      <c r="C10" s="16">
        <v>46087</v>
      </c>
      <c r="E10" s="16">
        <v>46087</v>
      </c>
      <c r="F10" s="16">
        <v>46087</v>
      </c>
      <c r="G10" s="16">
        <v>46102</v>
      </c>
      <c r="I10" t="s">
        <v>344</v>
      </c>
      <c r="K10" t="s">
        <v>298</v>
      </c>
      <c r="Q10" t="s">
        <v>324</v>
      </c>
      <c r="S10" t="s">
        <v>300</v>
      </c>
      <c r="T10">
        <v>52361</v>
      </c>
      <c r="U10" s="45">
        <v>46601</v>
      </c>
      <c r="W10" s="45">
        <v>27</v>
      </c>
      <c r="Z10">
        <f>VLOOKUP(AD10,mapping!B:G,5,0)</f>
        <v>430430</v>
      </c>
      <c r="AB10" t="str">
        <f>VLOOKUP(AD10,mapping!B:G,6,0)</f>
        <v>SECDIR</v>
      </c>
      <c r="AD10" t="s">
        <v>98</v>
      </c>
      <c r="AH10" s="46">
        <v>-71225</v>
      </c>
      <c r="AI10" s="46">
        <v>-19231</v>
      </c>
      <c r="AJ10" s="48"/>
      <c r="AK10" s="23"/>
      <c r="AL10" t="s">
        <v>299</v>
      </c>
      <c r="AN10" t="s">
        <v>343</v>
      </c>
    </row>
    <row r="11" spans="1:51">
      <c r="A11" t="s">
        <v>273</v>
      </c>
      <c r="B11">
        <v>4541</v>
      </c>
      <c r="C11" s="16">
        <v>46087</v>
      </c>
      <c r="E11" s="16">
        <v>46087</v>
      </c>
      <c r="F11" s="16">
        <v>46087</v>
      </c>
      <c r="G11" s="16">
        <v>46102</v>
      </c>
      <c r="I11" t="s">
        <v>344</v>
      </c>
      <c r="K11" t="s">
        <v>298</v>
      </c>
      <c r="Q11" t="s">
        <v>324</v>
      </c>
      <c r="S11" t="s">
        <v>300</v>
      </c>
      <c r="T11">
        <v>52361</v>
      </c>
      <c r="U11" s="45">
        <v>46601</v>
      </c>
      <c r="W11" s="45">
        <v>27</v>
      </c>
      <c r="Z11">
        <f>VLOOKUP(AD11,mapping!B:G,5,0)</f>
        <v>430880</v>
      </c>
      <c r="AB11" t="str">
        <f>VLOOKUP(AD11,mapping!B:G,6,0)</f>
        <v>SECDIR</v>
      </c>
      <c r="AD11" t="s">
        <v>99</v>
      </c>
      <c r="AH11" s="46">
        <v>-66997</v>
      </c>
      <c r="AI11" s="46">
        <v>-18089</v>
      </c>
      <c r="AJ11" s="48"/>
      <c r="AK11" s="23"/>
      <c r="AL11" t="s">
        <v>299</v>
      </c>
      <c r="AN11" t="s">
        <v>343</v>
      </c>
    </row>
    <row r="12" spans="1:51">
      <c r="A12" t="s">
        <v>273</v>
      </c>
      <c r="B12">
        <v>4541</v>
      </c>
      <c r="C12" s="16">
        <v>46087</v>
      </c>
      <c r="E12" s="16">
        <v>46087</v>
      </c>
      <c r="F12" s="16">
        <v>46087</v>
      </c>
      <c r="G12" s="16">
        <v>46102</v>
      </c>
      <c r="I12" t="s">
        <v>344</v>
      </c>
      <c r="K12" t="s">
        <v>298</v>
      </c>
      <c r="Q12" t="s">
        <v>324</v>
      </c>
      <c r="S12" t="s">
        <v>300</v>
      </c>
      <c r="T12">
        <v>52361</v>
      </c>
      <c r="U12" s="45">
        <v>46601</v>
      </c>
      <c r="W12" s="45">
        <v>27</v>
      </c>
      <c r="Z12">
        <f>VLOOKUP(AD12,mapping!B:G,5,0)</f>
        <v>430440</v>
      </c>
      <c r="AB12" t="str">
        <f>VLOOKUP(AD12,mapping!B:G,6,0)</f>
        <v>SECDIR</v>
      </c>
      <c r="AD12" t="s">
        <v>92</v>
      </c>
      <c r="AH12" s="46">
        <v>-73850</v>
      </c>
      <c r="AI12" s="46">
        <v>-19940</v>
      </c>
      <c r="AJ12" s="48"/>
      <c r="AK12" s="23"/>
      <c r="AL12" t="s">
        <v>299</v>
      </c>
      <c r="AN12" t="s">
        <v>343</v>
      </c>
    </row>
    <row r="13" spans="1:51">
      <c r="A13" t="s">
        <v>273</v>
      </c>
      <c r="B13">
        <v>4541</v>
      </c>
      <c r="C13" s="16">
        <v>46087</v>
      </c>
      <c r="E13" s="16">
        <v>46087</v>
      </c>
      <c r="F13" s="16">
        <v>46087</v>
      </c>
      <c r="G13" s="16">
        <v>46102</v>
      </c>
      <c r="I13" t="s">
        <v>344</v>
      </c>
      <c r="K13" t="s">
        <v>298</v>
      </c>
      <c r="Q13" t="s">
        <v>324</v>
      </c>
      <c r="S13" t="s">
        <v>300</v>
      </c>
      <c r="T13">
        <v>52361</v>
      </c>
      <c r="U13" s="45">
        <v>46601</v>
      </c>
      <c r="W13" s="45">
        <v>27</v>
      </c>
      <c r="Z13">
        <f>VLOOKUP(AD13,mapping!B:G,5,0)</f>
        <v>430440</v>
      </c>
      <c r="AB13" t="str">
        <f>VLOOKUP(AD13,mapping!B:G,6,0)</f>
        <v>SECDIR</v>
      </c>
      <c r="AD13" t="s">
        <v>180</v>
      </c>
      <c r="AH13" s="46">
        <v>-72447</v>
      </c>
      <c r="AI13" s="46">
        <v>-19561</v>
      </c>
      <c r="AJ13" s="48"/>
      <c r="AK13" s="23"/>
      <c r="AL13" t="s">
        <v>299</v>
      </c>
      <c r="AN13" t="s">
        <v>343</v>
      </c>
    </row>
    <row r="14" spans="1:51">
      <c r="A14" t="s">
        <v>273</v>
      </c>
      <c r="B14">
        <v>4541</v>
      </c>
      <c r="C14" s="16">
        <v>46087</v>
      </c>
      <c r="E14" s="16">
        <v>46087</v>
      </c>
      <c r="F14" s="16">
        <v>46087</v>
      </c>
      <c r="G14" s="16">
        <v>46102</v>
      </c>
      <c r="I14" t="s">
        <v>344</v>
      </c>
      <c r="K14" t="s">
        <v>298</v>
      </c>
      <c r="Q14" t="s">
        <v>324</v>
      </c>
      <c r="S14" t="s">
        <v>300</v>
      </c>
      <c r="T14">
        <v>52361</v>
      </c>
      <c r="U14" s="45">
        <v>46601</v>
      </c>
      <c r="W14" s="45">
        <v>27</v>
      </c>
      <c r="Z14">
        <f>VLOOKUP(AD14,mapping!B:G,5,0)</f>
        <v>430430</v>
      </c>
      <c r="AB14" t="str">
        <f>VLOOKUP(AD14,mapping!B:G,6,0)</f>
        <v>SECDIR</v>
      </c>
      <c r="AD14" t="s">
        <v>179</v>
      </c>
      <c r="AH14" s="46">
        <v>-70638</v>
      </c>
      <c r="AI14" s="46">
        <v>-19072</v>
      </c>
      <c r="AJ14" s="48"/>
      <c r="AK14" s="23"/>
      <c r="AL14" t="s">
        <v>299</v>
      </c>
      <c r="AN14" t="s">
        <v>343</v>
      </c>
    </row>
    <row r="15" spans="1:51">
      <c r="A15" t="s">
        <v>273</v>
      </c>
      <c r="B15">
        <v>4541</v>
      </c>
      <c r="C15" s="16">
        <v>46087</v>
      </c>
      <c r="E15" s="16">
        <v>46087</v>
      </c>
      <c r="F15" s="16">
        <v>46087</v>
      </c>
      <c r="G15" s="16">
        <v>46102</v>
      </c>
      <c r="I15" t="s">
        <v>344</v>
      </c>
      <c r="K15" t="s">
        <v>298</v>
      </c>
      <c r="Q15" t="s">
        <v>324</v>
      </c>
      <c r="S15" t="s">
        <v>300</v>
      </c>
      <c r="T15">
        <v>52361</v>
      </c>
      <c r="U15" s="45">
        <v>46601</v>
      </c>
      <c r="W15" s="45">
        <v>27</v>
      </c>
      <c r="Z15">
        <f>VLOOKUP(AD15,mapping!B:G,5,0)</f>
        <v>430430</v>
      </c>
      <c r="AB15" t="str">
        <f>VLOOKUP(AD15,mapping!B:G,6,0)</f>
        <v>SECDIR</v>
      </c>
      <c r="AD15" t="s">
        <v>178</v>
      </c>
      <c r="AH15" s="46">
        <v>-78100</v>
      </c>
      <c r="AI15" s="46">
        <v>-21087</v>
      </c>
      <c r="AJ15" s="48"/>
      <c r="AK15" s="23"/>
      <c r="AL15" t="s">
        <v>299</v>
      </c>
      <c r="AN15" t="s">
        <v>343</v>
      </c>
    </row>
    <row r="16" spans="1:51">
      <c r="A16" t="s">
        <v>273</v>
      </c>
      <c r="B16">
        <v>4541</v>
      </c>
      <c r="C16" s="16">
        <v>46087</v>
      </c>
      <c r="E16" s="16">
        <v>46087</v>
      </c>
      <c r="F16" s="16">
        <v>46087</v>
      </c>
      <c r="G16" s="16">
        <v>46102</v>
      </c>
      <c r="I16" t="s">
        <v>344</v>
      </c>
      <c r="K16" t="s">
        <v>298</v>
      </c>
      <c r="Q16" t="s">
        <v>324</v>
      </c>
      <c r="S16" t="s">
        <v>300</v>
      </c>
      <c r="T16">
        <v>52361</v>
      </c>
      <c r="U16" s="45">
        <v>46601</v>
      </c>
      <c r="W16" s="45">
        <v>27</v>
      </c>
      <c r="Z16">
        <f>VLOOKUP(AD16,mapping!B:G,5,0)</f>
        <v>430430</v>
      </c>
      <c r="AB16" t="str">
        <f>VLOOKUP(AD16,mapping!B:G,6,0)</f>
        <v>SECDIR</v>
      </c>
      <c r="AD16" t="s">
        <v>119</v>
      </c>
      <c r="AH16" s="46">
        <v>-86565</v>
      </c>
      <c r="AI16" s="46">
        <v>-23373</v>
      </c>
      <c r="AJ16" s="48"/>
      <c r="AK16" s="23"/>
      <c r="AL16" t="s">
        <v>299</v>
      </c>
      <c r="AN16" t="s">
        <v>343</v>
      </c>
    </row>
    <row r="17" spans="1:40">
      <c r="A17" t="s">
        <v>273</v>
      </c>
      <c r="B17">
        <v>4541</v>
      </c>
      <c r="C17" s="16">
        <v>46087</v>
      </c>
      <c r="E17" s="16">
        <v>46087</v>
      </c>
      <c r="F17" s="16">
        <v>46087</v>
      </c>
      <c r="G17" s="16">
        <v>46102</v>
      </c>
      <c r="I17" t="s">
        <v>344</v>
      </c>
      <c r="K17" t="s">
        <v>298</v>
      </c>
      <c r="Q17" t="s">
        <v>324</v>
      </c>
      <c r="S17" t="s">
        <v>300</v>
      </c>
      <c r="T17">
        <v>52361</v>
      </c>
      <c r="U17" s="45">
        <v>46601</v>
      </c>
      <c r="W17" s="45">
        <v>27</v>
      </c>
      <c r="Z17">
        <f>VLOOKUP(AD17,mapping!B:G,5,0)</f>
        <v>430430</v>
      </c>
      <c r="AB17" t="str">
        <f>VLOOKUP(AD17,mapping!B:G,6,0)</f>
        <v>SECDIR</v>
      </c>
      <c r="AD17" t="s">
        <v>283</v>
      </c>
      <c r="AH17" s="46">
        <v>-79949</v>
      </c>
      <c r="AI17" s="46">
        <v>-21586</v>
      </c>
      <c r="AJ17" s="48"/>
      <c r="AK17" s="23"/>
      <c r="AL17" t="s">
        <v>299</v>
      </c>
      <c r="AN17" t="s">
        <v>343</v>
      </c>
    </row>
    <row r="18" spans="1:40">
      <c r="A18" t="s">
        <v>273</v>
      </c>
      <c r="B18">
        <v>4541</v>
      </c>
      <c r="C18" s="16">
        <v>46087</v>
      </c>
      <c r="E18" s="16">
        <v>46087</v>
      </c>
      <c r="F18" s="16">
        <v>46087</v>
      </c>
      <c r="G18" s="16">
        <v>46102</v>
      </c>
      <c r="I18" t="s">
        <v>344</v>
      </c>
      <c r="K18" t="s">
        <v>298</v>
      </c>
      <c r="Q18" t="s">
        <v>324</v>
      </c>
      <c r="S18" t="s">
        <v>300</v>
      </c>
      <c r="T18">
        <v>52361</v>
      </c>
      <c r="U18" s="45">
        <v>46601</v>
      </c>
      <c r="W18" s="45">
        <v>27</v>
      </c>
      <c r="Z18">
        <f>VLOOKUP(AD18,mapping!B:G,5,0)</f>
        <v>430440</v>
      </c>
      <c r="AB18" t="str">
        <f>VLOOKUP(AD18,mapping!B:G,6,0)</f>
        <v>SECDIR</v>
      </c>
      <c r="AD18" t="s">
        <v>109</v>
      </c>
      <c r="AH18" s="46">
        <v>-82855</v>
      </c>
      <c r="AI18" s="46">
        <v>-22371</v>
      </c>
      <c r="AJ18" s="48"/>
      <c r="AK18" s="23"/>
      <c r="AL18" t="s">
        <v>299</v>
      </c>
      <c r="AN18" t="s">
        <v>343</v>
      </c>
    </row>
    <row r="19" spans="1:40">
      <c r="A19" t="s">
        <v>273</v>
      </c>
      <c r="B19">
        <v>4541</v>
      </c>
      <c r="C19" s="16">
        <v>46087</v>
      </c>
      <c r="E19" s="16">
        <v>46087</v>
      </c>
      <c r="F19" s="16">
        <v>46087</v>
      </c>
      <c r="G19" s="16">
        <v>46102</v>
      </c>
      <c r="I19" t="s">
        <v>344</v>
      </c>
      <c r="K19" t="s">
        <v>298</v>
      </c>
      <c r="Q19" t="s">
        <v>324</v>
      </c>
      <c r="S19" t="s">
        <v>300</v>
      </c>
      <c r="T19">
        <v>52361</v>
      </c>
      <c r="U19" s="45">
        <v>46601</v>
      </c>
      <c r="W19" s="45">
        <v>27</v>
      </c>
      <c r="Z19">
        <f>VLOOKUP(AD19,mapping!B:G,5,0)</f>
        <v>430440</v>
      </c>
      <c r="AB19" t="str">
        <f>VLOOKUP(AD19,mapping!B:G,6,0)</f>
        <v>SECDIR</v>
      </c>
      <c r="AD19" t="s">
        <v>117</v>
      </c>
      <c r="AH19" s="46">
        <v>-77946</v>
      </c>
      <c r="AI19" s="46">
        <v>-21045</v>
      </c>
      <c r="AJ19" s="48"/>
      <c r="AK19" s="23"/>
      <c r="AL19" t="s">
        <v>299</v>
      </c>
      <c r="AN19" t="s">
        <v>343</v>
      </c>
    </row>
    <row r="20" spans="1:40">
      <c r="A20" t="s">
        <v>273</v>
      </c>
      <c r="B20">
        <v>4541</v>
      </c>
      <c r="C20" s="16">
        <v>46087</v>
      </c>
      <c r="E20" s="16">
        <v>46087</v>
      </c>
      <c r="F20" s="16">
        <v>46087</v>
      </c>
      <c r="G20" s="16">
        <v>46102</v>
      </c>
      <c r="I20" t="s">
        <v>344</v>
      </c>
      <c r="K20" t="s">
        <v>298</v>
      </c>
      <c r="Q20" t="s">
        <v>324</v>
      </c>
      <c r="S20" t="s">
        <v>300</v>
      </c>
      <c r="T20">
        <v>52361</v>
      </c>
      <c r="U20" s="45">
        <v>46601</v>
      </c>
      <c r="W20" s="45">
        <v>27</v>
      </c>
      <c r="Z20">
        <f>VLOOKUP(AD20,mapping!B:G,5,0)</f>
        <v>430430</v>
      </c>
      <c r="AB20" t="str">
        <f>VLOOKUP(AD20,mapping!B:G,6,0)</f>
        <v>SECDIR</v>
      </c>
      <c r="AD20" t="s">
        <v>104</v>
      </c>
      <c r="AH20" s="46">
        <v>-75740</v>
      </c>
      <c r="AI20" s="46">
        <v>-20450</v>
      </c>
      <c r="AJ20" s="48"/>
      <c r="AK20" s="23"/>
      <c r="AL20" t="s">
        <v>299</v>
      </c>
      <c r="AN20" t="s">
        <v>343</v>
      </c>
    </row>
    <row r="21" spans="1:40">
      <c r="A21" t="s">
        <v>273</v>
      </c>
      <c r="B21">
        <v>4541</v>
      </c>
      <c r="C21" s="16">
        <v>46087</v>
      </c>
      <c r="E21" s="16">
        <v>46087</v>
      </c>
      <c r="F21" s="16">
        <v>46087</v>
      </c>
      <c r="G21" s="16">
        <v>46102</v>
      </c>
      <c r="I21" t="s">
        <v>344</v>
      </c>
      <c r="K21" t="s">
        <v>298</v>
      </c>
      <c r="Q21" t="s">
        <v>324</v>
      </c>
      <c r="S21" t="s">
        <v>300</v>
      </c>
      <c r="T21">
        <v>52361</v>
      </c>
      <c r="U21" s="45">
        <v>46601</v>
      </c>
      <c r="W21" s="45">
        <v>27</v>
      </c>
      <c r="Z21">
        <f>VLOOKUP(AD21,mapping!B:G,5,0)</f>
        <v>430440</v>
      </c>
      <c r="AB21" t="str">
        <f>VLOOKUP(AD21,mapping!B:G,6,0)</f>
        <v>SECDIR</v>
      </c>
      <c r="AD21" t="s">
        <v>120</v>
      </c>
      <c r="AG21" s="46"/>
      <c r="AH21" s="46">
        <v>-80173</v>
      </c>
      <c r="AI21" s="46">
        <v>-21647</v>
      </c>
      <c r="AJ21" s="48"/>
      <c r="AK21" s="23"/>
      <c r="AL21" t="s">
        <v>299</v>
      </c>
      <c r="AN21" t="s">
        <v>343</v>
      </c>
    </row>
    <row r="22" spans="1:40">
      <c r="A22" t="s">
        <v>273</v>
      </c>
      <c r="B22">
        <v>4541</v>
      </c>
      <c r="C22" s="16">
        <v>46087</v>
      </c>
      <c r="E22" s="16">
        <v>46087</v>
      </c>
      <c r="F22" s="16">
        <v>46087</v>
      </c>
      <c r="G22" s="16">
        <v>46102</v>
      </c>
      <c r="I22" t="s">
        <v>344</v>
      </c>
      <c r="K22" t="s">
        <v>298</v>
      </c>
      <c r="Q22" t="s">
        <v>324</v>
      </c>
      <c r="S22" t="s">
        <v>300</v>
      </c>
      <c r="T22">
        <v>52361</v>
      </c>
      <c r="U22" s="45">
        <v>46601</v>
      </c>
      <c r="W22" s="45">
        <v>27</v>
      </c>
      <c r="Z22">
        <f>VLOOKUP(AD22,mapping!B:G,5,0)</f>
        <v>430430</v>
      </c>
      <c r="AB22" t="str">
        <f>VLOOKUP(AD22,mapping!B:G,6,0)</f>
        <v>SECDIR</v>
      </c>
      <c r="AD22" t="s">
        <v>181</v>
      </c>
      <c r="AG22" s="46"/>
      <c r="AH22" s="46">
        <v>-77462</v>
      </c>
      <c r="AI22" s="46">
        <v>-20915</v>
      </c>
      <c r="AJ22" s="48"/>
      <c r="AK22" s="23"/>
      <c r="AL22" t="s">
        <v>299</v>
      </c>
      <c r="AN22" t="s">
        <v>343</v>
      </c>
    </row>
    <row r="23" spans="1:40">
      <c r="A23" t="s">
        <v>273</v>
      </c>
      <c r="B23">
        <v>4541</v>
      </c>
      <c r="C23" s="16">
        <v>46087</v>
      </c>
      <c r="E23" s="16">
        <v>46087</v>
      </c>
      <c r="F23" s="16">
        <v>46087</v>
      </c>
      <c r="G23" s="16">
        <v>46102</v>
      </c>
      <c r="I23" t="s">
        <v>344</v>
      </c>
      <c r="K23" t="s">
        <v>298</v>
      </c>
      <c r="Q23" t="s">
        <v>324</v>
      </c>
      <c r="S23" t="s">
        <v>300</v>
      </c>
      <c r="T23">
        <v>52361</v>
      </c>
      <c r="U23" s="45">
        <v>46601</v>
      </c>
      <c r="W23" s="45">
        <v>27</v>
      </c>
      <c r="Z23">
        <f>VLOOKUP(AD23,mapping!B:G,5,0)</f>
        <v>430430</v>
      </c>
      <c r="AB23" t="str">
        <f>VLOOKUP(AD23,mapping!B:G,6,0)</f>
        <v>SECDIR</v>
      </c>
      <c r="AD23" t="s">
        <v>182</v>
      </c>
      <c r="AG23" s="46"/>
      <c r="AH23" s="46">
        <v>-72653</v>
      </c>
      <c r="AI23" s="46">
        <v>-19616</v>
      </c>
      <c r="AJ23" s="48"/>
      <c r="AK23" s="23"/>
      <c r="AL23" t="s">
        <v>299</v>
      </c>
      <c r="AN23" t="s">
        <v>343</v>
      </c>
    </row>
    <row r="24" spans="1:40">
      <c r="A24" t="s">
        <v>273</v>
      </c>
      <c r="B24">
        <v>4541</v>
      </c>
      <c r="C24" s="16">
        <v>46087</v>
      </c>
      <c r="E24" s="16">
        <v>46087</v>
      </c>
      <c r="F24" s="16">
        <v>46087</v>
      </c>
      <c r="G24" s="16">
        <v>46102</v>
      </c>
      <c r="I24" t="s">
        <v>344</v>
      </c>
      <c r="K24" t="s">
        <v>298</v>
      </c>
      <c r="Q24" t="s">
        <v>324</v>
      </c>
      <c r="S24" t="s">
        <v>300</v>
      </c>
      <c r="T24">
        <v>52361</v>
      </c>
      <c r="U24" s="45">
        <v>46601</v>
      </c>
      <c r="W24" s="45">
        <v>27</v>
      </c>
      <c r="Z24">
        <f>VLOOKUP(AD24,mapping!B:G,5,0)</f>
        <v>430440</v>
      </c>
      <c r="AB24" t="str">
        <f>VLOOKUP(AD24,mapping!B:G,6,0)</f>
        <v>SECDIR</v>
      </c>
      <c r="AD24" t="s">
        <v>183</v>
      </c>
      <c r="AG24" s="46"/>
      <c r="AH24" s="46">
        <v>-78872</v>
      </c>
      <c r="AI24" s="46">
        <v>-21295</v>
      </c>
      <c r="AJ24" s="48"/>
      <c r="AK24" s="23"/>
      <c r="AL24" t="s">
        <v>299</v>
      </c>
      <c r="AN24" t="s">
        <v>343</v>
      </c>
    </row>
    <row r="25" spans="1:40">
      <c r="A25" t="s">
        <v>273</v>
      </c>
      <c r="B25">
        <v>4541</v>
      </c>
      <c r="C25" s="16">
        <v>46087</v>
      </c>
      <c r="E25" s="16">
        <v>46087</v>
      </c>
      <c r="F25" s="16">
        <v>46087</v>
      </c>
      <c r="G25" s="16">
        <v>46102</v>
      </c>
      <c r="I25" t="s">
        <v>344</v>
      </c>
      <c r="K25" t="s">
        <v>298</v>
      </c>
      <c r="Q25" t="s">
        <v>324</v>
      </c>
      <c r="S25" t="s">
        <v>300</v>
      </c>
      <c r="T25">
        <v>52361</v>
      </c>
      <c r="U25" s="45">
        <v>46601</v>
      </c>
      <c r="W25" s="45">
        <v>27</v>
      </c>
      <c r="Z25">
        <f>VLOOKUP(AD25,mapping!B:G,5,0)</f>
        <v>430440</v>
      </c>
      <c r="AB25" t="str">
        <f>VLOOKUP(AD25,mapping!B:G,6,0)</f>
        <v>SECDIR</v>
      </c>
      <c r="AD25" t="s">
        <v>184</v>
      </c>
      <c r="AG25" s="46"/>
      <c r="AH25" s="46">
        <v>-82809</v>
      </c>
      <c r="AI25" s="46">
        <v>-22358</v>
      </c>
      <c r="AJ25" s="48"/>
      <c r="AK25" s="23"/>
      <c r="AL25" t="s">
        <v>299</v>
      </c>
      <c r="AN25" t="s">
        <v>343</v>
      </c>
    </row>
    <row r="26" spans="1:40">
      <c r="A26" t="s">
        <v>273</v>
      </c>
      <c r="B26">
        <v>4541</v>
      </c>
      <c r="C26" s="16">
        <v>46087</v>
      </c>
      <c r="E26" s="16">
        <v>46087</v>
      </c>
      <c r="F26" s="16">
        <v>46087</v>
      </c>
      <c r="G26" s="16">
        <v>46102</v>
      </c>
      <c r="I26" t="s">
        <v>344</v>
      </c>
      <c r="K26" t="s">
        <v>298</v>
      </c>
      <c r="Q26" t="s">
        <v>324</v>
      </c>
      <c r="S26" t="s">
        <v>300</v>
      </c>
      <c r="T26">
        <v>52361</v>
      </c>
      <c r="U26" s="45">
        <v>46601</v>
      </c>
      <c r="W26" s="45">
        <v>27</v>
      </c>
      <c r="Z26">
        <f>VLOOKUP(AD26,mapping!B:G,5,0)</f>
        <v>430430</v>
      </c>
      <c r="AB26" t="str">
        <f>VLOOKUP(AD26,mapping!B:G,6,0)</f>
        <v>SECDIR</v>
      </c>
      <c r="AD26" t="s">
        <v>186</v>
      </c>
      <c r="AG26" s="46"/>
      <c r="AH26" s="46">
        <v>-76782</v>
      </c>
      <c r="AI26" s="46">
        <v>-20731</v>
      </c>
      <c r="AJ26" s="48"/>
      <c r="AK26" s="23"/>
      <c r="AL26" t="s">
        <v>299</v>
      </c>
      <c r="AN26" t="s">
        <v>343</v>
      </c>
    </row>
    <row r="27" spans="1:40">
      <c r="A27" t="s">
        <v>273</v>
      </c>
      <c r="B27">
        <v>4541</v>
      </c>
      <c r="C27" s="16">
        <v>46087</v>
      </c>
      <c r="E27" s="16">
        <v>46087</v>
      </c>
      <c r="F27" s="16">
        <v>46087</v>
      </c>
      <c r="G27" s="16">
        <v>46102</v>
      </c>
      <c r="I27" t="s">
        <v>344</v>
      </c>
      <c r="K27" t="s">
        <v>298</v>
      </c>
      <c r="Q27" t="s">
        <v>324</v>
      </c>
      <c r="S27" t="s">
        <v>300</v>
      </c>
      <c r="T27">
        <v>52361</v>
      </c>
      <c r="U27" s="45">
        <v>46601</v>
      </c>
      <c r="W27" s="45">
        <v>27</v>
      </c>
      <c r="Z27">
        <f>VLOOKUP(AD27,mapping!B:G,5,0)</f>
        <v>430440</v>
      </c>
      <c r="AB27" t="str">
        <f>VLOOKUP(AD27,mapping!B:G,6,0)</f>
        <v>SECDIR</v>
      </c>
      <c r="AD27" t="s">
        <v>108</v>
      </c>
      <c r="AG27" s="46"/>
      <c r="AH27" s="46">
        <v>-77357</v>
      </c>
      <c r="AI27" s="46">
        <v>-20886</v>
      </c>
      <c r="AJ27" s="48"/>
      <c r="AK27" s="23"/>
      <c r="AL27" t="s">
        <v>299</v>
      </c>
      <c r="AN27" t="s">
        <v>343</v>
      </c>
    </row>
    <row r="28" spans="1:40">
      <c r="A28" t="s">
        <v>273</v>
      </c>
      <c r="B28">
        <v>4541</v>
      </c>
      <c r="C28" s="16">
        <v>46087</v>
      </c>
      <c r="E28" s="16">
        <v>46087</v>
      </c>
      <c r="F28" s="16">
        <v>46087</v>
      </c>
      <c r="G28" s="16">
        <v>46102</v>
      </c>
      <c r="I28" t="s">
        <v>344</v>
      </c>
      <c r="K28" t="s">
        <v>298</v>
      </c>
      <c r="Q28" t="s">
        <v>324</v>
      </c>
      <c r="S28" t="s">
        <v>300</v>
      </c>
      <c r="T28">
        <v>52361</v>
      </c>
      <c r="U28" s="45">
        <v>46601</v>
      </c>
      <c r="W28" s="45">
        <v>27</v>
      </c>
      <c r="Z28">
        <f>VLOOKUP(AD28,mapping!B:G,5,0)</f>
        <v>430430</v>
      </c>
      <c r="AB28" t="str">
        <f>VLOOKUP(AD28,mapping!B:G,6,0)</f>
        <v>SECDIR</v>
      </c>
      <c r="AD28" t="s">
        <v>54</v>
      </c>
      <c r="AG28" s="46"/>
      <c r="AH28" s="46">
        <v>-139835</v>
      </c>
      <c r="AI28" s="46">
        <v>-37755</v>
      </c>
      <c r="AJ28" s="48"/>
      <c r="AK28" s="23"/>
      <c r="AL28" t="s">
        <v>299</v>
      </c>
      <c r="AN28" t="s">
        <v>343</v>
      </c>
    </row>
    <row r="29" spans="1:40">
      <c r="A29" t="s">
        <v>273</v>
      </c>
      <c r="B29">
        <v>4541</v>
      </c>
      <c r="C29" s="16">
        <v>46087</v>
      </c>
      <c r="E29" s="16">
        <v>46087</v>
      </c>
      <c r="F29" s="16">
        <v>46087</v>
      </c>
      <c r="G29" s="16">
        <v>46102</v>
      </c>
      <c r="I29" t="s">
        <v>344</v>
      </c>
      <c r="K29" t="s">
        <v>298</v>
      </c>
      <c r="Q29" t="s">
        <v>324</v>
      </c>
      <c r="S29" t="s">
        <v>300</v>
      </c>
      <c r="T29">
        <v>52361</v>
      </c>
      <c r="U29" s="45">
        <v>46601</v>
      </c>
      <c r="W29" s="45">
        <v>27</v>
      </c>
      <c r="Z29">
        <f>VLOOKUP(AD29,mapping!B:G,5,0)</f>
        <v>430430</v>
      </c>
      <c r="AB29" t="str">
        <f>VLOOKUP(AD29,mapping!B:G,6,0)</f>
        <v>SECDIR</v>
      </c>
      <c r="AD29" t="s">
        <v>52</v>
      </c>
      <c r="AG29" s="46"/>
      <c r="AH29" s="46">
        <v>-168775</v>
      </c>
      <c r="AI29" s="46">
        <v>-45569</v>
      </c>
      <c r="AJ29" s="48"/>
      <c r="AK29" s="23"/>
      <c r="AL29" t="s">
        <v>299</v>
      </c>
      <c r="AN29" t="s">
        <v>343</v>
      </c>
    </row>
    <row r="30" spans="1:40">
      <c r="A30" t="s">
        <v>273</v>
      </c>
      <c r="B30">
        <v>4541</v>
      </c>
      <c r="C30" s="16">
        <v>46087</v>
      </c>
      <c r="E30" s="16">
        <v>46087</v>
      </c>
      <c r="F30" s="16">
        <v>46087</v>
      </c>
      <c r="G30" s="16">
        <v>46102</v>
      </c>
      <c r="I30" t="s">
        <v>344</v>
      </c>
      <c r="K30" t="s">
        <v>298</v>
      </c>
      <c r="Q30" t="s">
        <v>324</v>
      </c>
      <c r="S30" t="s">
        <v>300</v>
      </c>
      <c r="T30">
        <v>52361</v>
      </c>
      <c r="U30" s="45">
        <v>46601</v>
      </c>
      <c r="W30" s="45">
        <v>27</v>
      </c>
      <c r="Z30">
        <f>VLOOKUP(AD30,mapping!B:G,5,0)</f>
        <v>430430</v>
      </c>
      <c r="AB30" t="str">
        <f>VLOOKUP(AD30,mapping!B:G,6,0)</f>
        <v>SECDIR</v>
      </c>
      <c r="AD30" t="s">
        <v>53</v>
      </c>
      <c r="AG30" s="46"/>
      <c r="AH30" s="46">
        <v>-132714</v>
      </c>
      <c r="AI30" s="46">
        <v>-35833</v>
      </c>
      <c r="AJ30" s="48"/>
      <c r="AK30" s="23"/>
      <c r="AL30" t="s">
        <v>299</v>
      </c>
      <c r="AN30" t="s">
        <v>343</v>
      </c>
    </row>
    <row r="31" spans="1:40">
      <c r="A31" t="s">
        <v>273</v>
      </c>
      <c r="B31">
        <v>4541</v>
      </c>
      <c r="C31" s="16">
        <v>46087</v>
      </c>
      <c r="E31" s="16">
        <v>46087</v>
      </c>
      <c r="F31" s="16">
        <v>46087</v>
      </c>
      <c r="G31" s="16">
        <v>46102</v>
      </c>
      <c r="I31" t="s">
        <v>344</v>
      </c>
      <c r="K31" t="s">
        <v>298</v>
      </c>
      <c r="Q31" t="s">
        <v>324</v>
      </c>
      <c r="S31" t="s">
        <v>300</v>
      </c>
      <c r="T31">
        <v>52361</v>
      </c>
      <c r="U31" s="45">
        <v>46601</v>
      </c>
      <c r="W31" s="45">
        <v>27</v>
      </c>
      <c r="Z31">
        <f>VLOOKUP(AD31,mapping!B:G,5,0)</f>
        <v>430430</v>
      </c>
      <c r="AB31" t="str">
        <f>VLOOKUP(AD31,mapping!B:G,6,0)</f>
        <v>SECDIR</v>
      </c>
      <c r="AD31" t="s">
        <v>60</v>
      </c>
      <c r="AG31" s="46"/>
      <c r="AH31" s="46">
        <v>-115288</v>
      </c>
      <c r="AI31" s="46">
        <v>-31128</v>
      </c>
      <c r="AJ31" s="48"/>
      <c r="AK31" s="23"/>
      <c r="AL31" t="s">
        <v>299</v>
      </c>
      <c r="AN31" t="s">
        <v>343</v>
      </c>
    </row>
    <row r="32" spans="1:40">
      <c r="A32" t="s">
        <v>273</v>
      </c>
      <c r="B32">
        <v>4541</v>
      </c>
      <c r="C32" s="16">
        <v>46087</v>
      </c>
      <c r="E32" s="16">
        <v>46087</v>
      </c>
      <c r="F32" s="16">
        <v>46087</v>
      </c>
      <c r="G32" s="16">
        <v>46102</v>
      </c>
      <c r="I32" t="s">
        <v>344</v>
      </c>
      <c r="K32" t="s">
        <v>298</v>
      </c>
      <c r="Q32" t="s">
        <v>324</v>
      </c>
      <c r="S32" t="s">
        <v>300</v>
      </c>
      <c r="T32">
        <v>52361</v>
      </c>
      <c r="U32" s="45">
        <v>46601</v>
      </c>
      <c r="W32" s="45">
        <v>27</v>
      </c>
      <c r="Z32">
        <f>VLOOKUP(AD32,mapping!B:G,5,0)</f>
        <v>430430</v>
      </c>
      <c r="AB32" t="str">
        <f>VLOOKUP(AD32,mapping!B:G,6,0)</f>
        <v>SECDIR</v>
      </c>
      <c r="AD32" t="s">
        <v>57</v>
      </c>
      <c r="AG32" s="46"/>
      <c r="AH32" s="46">
        <v>-137993</v>
      </c>
      <c r="AI32" s="46">
        <v>-37258</v>
      </c>
      <c r="AJ32" s="48"/>
      <c r="AK32" s="23"/>
      <c r="AL32" t="s">
        <v>299</v>
      </c>
      <c r="AN32" t="s">
        <v>343</v>
      </c>
    </row>
    <row r="33" spans="1:40">
      <c r="A33" t="s">
        <v>273</v>
      </c>
      <c r="B33">
        <v>4541</v>
      </c>
      <c r="C33" s="16">
        <v>46087</v>
      </c>
      <c r="E33" s="16">
        <v>46087</v>
      </c>
      <c r="F33" s="16">
        <v>46087</v>
      </c>
      <c r="G33" s="16">
        <v>46102</v>
      </c>
      <c r="I33" t="s">
        <v>344</v>
      </c>
      <c r="K33" t="s">
        <v>298</v>
      </c>
      <c r="Q33" t="s">
        <v>324</v>
      </c>
      <c r="S33" t="s">
        <v>300</v>
      </c>
      <c r="T33">
        <v>52361</v>
      </c>
      <c r="U33" s="45">
        <v>46601</v>
      </c>
      <c r="W33" s="45">
        <v>27</v>
      </c>
      <c r="Z33">
        <f>VLOOKUP(AD33,mapping!B:G,5,0)</f>
        <v>430430</v>
      </c>
      <c r="AB33" t="str">
        <f>VLOOKUP(AD33,mapping!B:G,6,0)</f>
        <v>SECDIR</v>
      </c>
      <c r="AD33" t="s">
        <v>58</v>
      </c>
      <c r="AG33" s="46"/>
      <c r="AH33" s="46">
        <v>-118182</v>
      </c>
      <c r="AI33" s="46">
        <v>-31909</v>
      </c>
      <c r="AJ33" s="48"/>
      <c r="AK33" s="23"/>
      <c r="AL33" t="s">
        <v>299</v>
      </c>
      <c r="AN33" t="s">
        <v>343</v>
      </c>
    </row>
    <row r="34" spans="1:40">
      <c r="A34" t="s">
        <v>273</v>
      </c>
      <c r="B34">
        <v>4541</v>
      </c>
      <c r="C34" s="16">
        <v>46087</v>
      </c>
      <c r="E34" s="16">
        <v>46087</v>
      </c>
      <c r="F34" s="16">
        <v>46087</v>
      </c>
      <c r="G34" s="16">
        <v>46102</v>
      </c>
      <c r="I34" t="s">
        <v>344</v>
      </c>
      <c r="K34" t="s">
        <v>298</v>
      </c>
      <c r="Q34" t="s">
        <v>324</v>
      </c>
      <c r="S34" t="s">
        <v>300</v>
      </c>
      <c r="T34">
        <v>52361</v>
      </c>
      <c r="U34" s="45">
        <v>46601</v>
      </c>
      <c r="W34" s="45">
        <v>27</v>
      </c>
      <c r="Z34">
        <f>VLOOKUP(AD34,mapping!B:G,5,0)</f>
        <v>430430</v>
      </c>
      <c r="AB34" t="str">
        <f>VLOOKUP(AD34,mapping!B:G,6,0)</f>
        <v>SECDIR</v>
      </c>
      <c r="AD34" t="s">
        <v>59</v>
      </c>
      <c r="AG34" s="46"/>
      <c r="AH34" s="46">
        <v>-105350</v>
      </c>
      <c r="AI34" s="46">
        <v>-28445</v>
      </c>
      <c r="AJ34" s="48"/>
      <c r="AK34" s="23"/>
      <c r="AL34" t="s">
        <v>299</v>
      </c>
      <c r="AN34" t="s">
        <v>343</v>
      </c>
    </row>
    <row r="35" spans="1:40">
      <c r="A35" t="s">
        <v>273</v>
      </c>
      <c r="B35">
        <v>4541</v>
      </c>
      <c r="C35" s="16">
        <v>46087</v>
      </c>
      <c r="E35" s="16">
        <v>46087</v>
      </c>
      <c r="F35" s="16">
        <v>46087</v>
      </c>
      <c r="G35" s="16">
        <v>46102</v>
      </c>
      <c r="I35" t="s">
        <v>344</v>
      </c>
      <c r="K35" t="s">
        <v>298</v>
      </c>
      <c r="Q35" t="s">
        <v>324</v>
      </c>
      <c r="S35" t="s">
        <v>300</v>
      </c>
      <c r="T35">
        <v>52361</v>
      </c>
      <c r="U35" s="45">
        <v>46601</v>
      </c>
      <c r="W35" s="45">
        <v>27</v>
      </c>
      <c r="Z35">
        <f>VLOOKUP(AD35,mapping!B:G,5,0)</f>
        <v>430440</v>
      </c>
      <c r="AB35" t="str">
        <f>VLOOKUP(AD35,mapping!B:G,6,0)</f>
        <v>SECDIR</v>
      </c>
      <c r="AD35" t="s">
        <v>61</v>
      </c>
      <c r="AG35" s="46"/>
      <c r="AH35" s="46">
        <v>-141130</v>
      </c>
      <c r="AI35" s="46">
        <v>-38105</v>
      </c>
      <c r="AJ35" s="48"/>
      <c r="AK35" s="23"/>
      <c r="AL35" t="s">
        <v>299</v>
      </c>
      <c r="AN35" t="s">
        <v>343</v>
      </c>
    </row>
    <row r="36" spans="1:40">
      <c r="A36" t="s">
        <v>273</v>
      </c>
      <c r="B36">
        <v>4541</v>
      </c>
      <c r="C36" s="16">
        <v>46087</v>
      </c>
      <c r="E36" s="16">
        <v>46087</v>
      </c>
      <c r="F36" s="16">
        <v>46087</v>
      </c>
      <c r="G36" s="16">
        <v>46102</v>
      </c>
      <c r="I36" t="s">
        <v>344</v>
      </c>
      <c r="K36" t="s">
        <v>298</v>
      </c>
      <c r="Q36" t="s">
        <v>324</v>
      </c>
      <c r="S36" t="s">
        <v>300</v>
      </c>
      <c r="T36">
        <v>52361</v>
      </c>
      <c r="U36" s="45">
        <v>46601</v>
      </c>
      <c r="W36" s="45">
        <v>27</v>
      </c>
      <c r="Z36">
        <f>VLOOKUP(AD36,mapping!B:G,5,0)</f>
        <v>430440</v>
      </c>
      <c r="AB36" t="str">
        <f>VLOOKUP(AD36,mapping!B:G,6,0)</f>
        <v>SECDIR</v>
      </c>
      <c r="AD36" t="s">
        <v>62</v>
      </c>
      <c r="AG36" s="46"/>
      <c r="AH36" s="46">
        <v>-141223</v>
      </c>
      <c r="AI36" s="46">
        <v>-38130</v>
      </c>
      <c r="AJ36" s="48"/>
      <c r="AK36" s="23"/>
      <c r="AL36" t="s">
        <v>299</v>
      </c>
      <c r="AN36" t="s">
        <v>343</v>
      </c>
    </row>
    <row r="37" spans="1:40">
      <c r="A37" t="s">
        <v>273</v>
      </c>
      <c r="B37">
        <v>4541</v>
      </c>
      <c r="C37" s="16">
        <v>46087</v>
      </c>
      <c r="E37" s="16">
        <v>46087</v>
      </c>
      <c r="F37" s="16">
        <v>46087</v>
      </c>
      <c r="G37" s="16">
        <v>46102</v>
      </c>
      <c r="I37" t="s">
        <v>344</v>
      </c>
      <c r="K37" t="s">
        <v>298</v>
      </c>
      <c r="Q37" t="s">
        <v>324</v>
      </c>
      <c r="S37" t="s">
        <v>300</v>
      </c>
      <c r="T37">
        <v>52361</v>
      </c>
      <c r="U37" s="45">
        <v>46601</v>
      </c>
      <c r="W37" s="45">
        <v>27</v>
      </c>
      <c r="Z37">
        <f>VLOOKUP(AD37,mapping!B:G,5,0)</f>
        <v>430430</v>
      </c>
      <c r="AB37" t="str">
        <f>VLOOKUP(AD37,mapping!B:G,6,0)</f>
        <v>SECDIR</v>
      </c>
      <c r="AD37" t="s">
        <v>66</v>
      </c>
      <c r="AG37" s="46"/>
      <c r="AH37" s="46">
        <v>-126656</v>
      </c>
      <c r="AI37" s="46">
        <v>-34197</v>
      </c>
      <c r="AJ37" s="48"/>
      <c r="AK37" s="23"/>
      <c r="AL37" t="s">
        <v>299</v>
      </c>
      <c r="AN37" t="s">
        <v>343</v>
      </c>
    </row>
    <row r="38" spans="1:40">
      <c r="A38" t="s">
        <v>273</v>
      </c>
      <c r="B38">
        <v>4541</v>
      </c>
      <c r="C38" s="16">
        <v>46087</v>
      </c>
      <c r="E38" s="16">
        <v>46087</v>
      </c>
      <c r="F38" s="16">
        <v>46087</v>
      </c>
      <c r="G38" s="16">
        <v>46102</v>
      </c>
      <c r="I38" t="s">
        <v>344</v>
      </c>
      <c r="K38" t="s">
        <v>298</v>
      </c>
      <c r="Q38" t="s">
        <v>324</v>
      </c>
      <c r="S38" t="s">
        <v>300</v>
      </c>
      <c r="T38">
        <v>52361</v>
      </c>
      <c r="U38" s="45">
        <v>46601</v>
      </c>
      <c r="W38" s="45">
        <v>27</v>
      </c>
      <c r="Z38">
        <f>VLOOKUP(AD38,mapping!B:G,5,0)</f>
        <v>430430</v>
      </c>
      <c r="AB38" t="str">
        <f>VLOOKUP(AD38,mapping!B:G,6,0)</f>
        <v>SECDIR</v>
      </c>
      <c r="AD38" t="s">
        <v>67</v>
      </c>
      <c r="AG38" s="46"/>
      <c r="AH38" s="46">
        <v>-124237</v>
      </c>
      <c r="AI38" s="46">
        <v>-33544</v>
      </c>
      <c r="AJ38" s="48"/>
      <c r="AK38" s="23"/>
      <c r="AL38" t="s">
        <v>299</v>
      </c>
      <c r="AN38" t="s">
        <v>343</v>
      </c>
    </row>
    <row r="39" spans="1:40">
      <c r="A39" t="s">
        <v>273</v>
      </c>
      <c r="B39">
        <v>4541</v>
      </c>
      <c r="C39" s="16">
        <v>46087</v>
      </c>
      <c r="E39" s="16">
        <v>46087</v>
      </c>
      <c r="F39" s="16">
        <v>46087</v>
      </c>
      <c r="G39" s="16">
        <v>46102</v>
      </c>
      <c r="I39" t="s">
        <v>344</v>
      </c>
      <c r="K39" t="s">
        <v>298</v>
      </c>
      <c r="Q39" t="s">
        <v>324</v>
      </c>
      <c r="S39" t="s">
        <v>300</v>
      </c>
      <c r="T39">
        <v>52361</v>
      </c>
      <c r="U39" s="45">
        <v>46601</v>
      </c>
      <c r="W39" s="45">
        <v>27</v>
      </c>
      <c r="Z39">
        <f>VLOOKUP(AD39,mapping!B:G,5,0)</f>
        <v>430440</v>
      </c>
      <c r="AB39" t="str">
        <f>VLOOKUP(AD39,mapping!B:G,6,0)</f>
        <v>SECDIR</v>
      </c>
      <c r="AD39" t="s">
        <v>295</v>
      </c>
      <c r="AG39" s="46"/>
      <c r="AH39" s="46">
        <v>-88500</v>
      </c>
      <c r="AI39" s="46">
        <v>-23895</v>
      </c>
      <c r="AJ39" s="48"/>
      <c r="AK39" s="23"/>
      <c r="AL39" t="s">
        <v>299</v>
      </c>
      <c r="AN39" t="s">
        <v>343</v>
      </c>
    </row>
    <row r="40" spans="1:40">
      <c r="A40" t="s">
        <v>273</v>
      </c>
      <c r="B40">
        <v>4541</v>
      </c>
      <c r="C40" s="16">
        <v>46087</v>
      </c>
      <c r="E40" s="16">
        <v>46087</v>
      </c>
      <c r="F40" s="16">
        <v>46087</v>
      </c>
      <c r="G40" s="16">
        <v>46102</v>
      </c>
      <c r="I40" t="s">
        <v>344</v>
      </c>
      <c r="K40" t="s">
        <v>298</v>
      </c>
      <c r="Q40" t="s">
        <v>324</v>
      </c>
      <c r="S40" t="s">
        <v>300</v>
      </c>
      <c r="T40">
        <v>52361</v>
      </c>
      <c r="U40" s="45">
        <v>46601</v>
      </c>
      <c r="W40" s="45">
        <v>27</v>
      </c>
      <c r="Z40">
        <f>VLOOKUP(AD40,mapping!B:G,5,0)</f>
        <v>430430</v>
      </c>
      <c r="AB40" t="str">
        <f>VLOOKUP(AD40,mapping!B:G,6,0)</f>
        <v>SECDIR</v>
      </c>
      <c r="AD40" t="s">
        <v>296</v>
      </c>
      <c r="AG40" s="46"/>
      <c r="AH40" s="46">
        <v>-77019</v>
      </c>
      <c r="AI40" s="46">
        <v>-20795</v>
      </c>
      <c r="AJ40" s="48"/>
      <c r="AK40" s="23"/>
      <c r="AL40" t="s">
        <v>299</v>
      </c>
      <c r="AN40" t="s">
        <v>343</v>
      </c>
    </row>
    <row r="41" spans="1:40">
      <c r="A41" t="s">
        <v>273</v>
      </c>
      <c r="B41">
        <v>4541</v>
      </c>
      <c r="C41" s="16">
        <v>46087</v>
      </c>
      <c r="E41" s="16">
        <v>46087</v>
      </c>
      <c r="F41" s="16">
        <v>46087</v>
      </c>
      <c r="G41" s="16">
        <v>46102</v>
      </c>
      <c r="I41" t="s">
        <v>344</v>
      </c>
      <c r="K41" t="s">
        <v>298</v>
      </c>
      <c r="Q41" t="s">
        <v>324</v>
      </c>
      <c r="S41" t="s">
        <v>300</v>
      </c>
      <c r="T41">
        <v>52361</v>
      </c>
      <c r="U41" s="45">
        <v>46601</v>
      </c>
      <c r="W41" s="45">
        <v>27</v>
      </c>
      <c r="Z41">
        <f>VLOOKUP(AD41,mapping!B:G,5,0)</f>
        <v>430440</v>
      </c>
      <c r="AB41" t="str">
        <f>VLOOKUP(AD41,mapping!B:G,6,0)</f>
        <v>SECDIR</v>
      </c>
      <c r="AD41" t="s">
        <v>297</v>
      </c>
      <c r="AG41" s="46"/>
      <c r="AH41" s="46">
        <v>-126861</v>
      </c>
      <c r="AI41" s="46">
        <v>-34252</v>
      </c>
      <c r="AJ41" s="23"/>
      <c r="AK41" s="23"/>
      <c r="AL41" t="s">
        <v>299</v>
      </c>
      <c r="AN41" t="s">
        <v>343</v>
      </c>
    </row>
    <row r="42" spans="1:40">
      <c r="C42" s="16"/>
      <c r="E42" s="16"/>
      <c r="F42" s="16"/>
      <c r="G42" s="16"/>
      <c r="U42" s="45"/>
      <c r="W42" s="45"/>
      <c r="AG42" s="46"/>
      <c r="AH42" s="46"/>
      <c r="AI42" s="46"/>
      <c r="AJ42" s="23"/>
      <c r="AK42" s="23"/>
    </row>
    <row r="43" spans="1:40">
      <c r="C43" s="16"/>
      <c r="E43" s="16"/>
      <c r="F43" s="16"/>
      <c r="G43" s="16"/>
      <c r="U43" s="45"/>
      <c r="W43" s="45"/>
      <c r="AG43" s="46"/>
      <c r="AH43" s="46"/>
      <c r="AI43" s="46"/>
      <c r="AJ43" s="23"/>
      <c r="AK43" s="23"/>
    </row>
    <row r="44" spans="1:40">
      <c r="C44" s="16"/>
      <c r="E44" s="16"/>
      <c r="F44" s="16"/>
      <c r="G44" s="16"/>
      <c r="AH44" s="46"/>
      <c r="AI44" s="46"/>
    </row>
    <row r="45" spans="1:40">
      <c r="C45" s="16"/>
      <c r="E45" s="16"/>
      <c r="F45" s="16"/>
      <c r="G45" s="16"/>
      <c r="AH45" s="46"/>
      <c r="AI45" s="46"/>
    </row>
    <row r="46" spans="1:40">
      <c r="C46" s="16"/>
      <c r="E46" s="16"/>
      <c r="F46" s="16"/>
      <c r="G46" s="16"/>
      <c r="AJ46" s="23"/>
    </row>
    <row r="47" spans="1:40">
      <c r="C47" s="16"/>
      <c r="E47" s="16"/>
      <c r="F47" s="16"/>
      <c r="G47" s="16"/>
      <c r="AJ47" s="23"/>
    </row>
    <row r="48" spans="1:40">
      <c r="C48" s="16"/>
      <c r="E48" s="16"/>
      <c r="F48" s="16"/>
      <c r="G48" s="16"/>
      <c r="AJ48" s="23"/>
    </row>
    <row r="49" spans="3:36">
      <c r="C49" s="16"/>
      <c r="E49" s="16"/>
      <c r="F49" s="16"/>
      <c r="G49" s="16"/>
      <c r="AJ49" s="23"/>
    </row>
    <row r="50" spans="3:36">
      <c r="C50" s="16"/>
      <c r="E50" s="16"/>
      <c r="F50" s="16"/>
      <c r="G50" s="16"/>
      <c r="AJ50" s="23"/>
    </row>
    <row r="51" spans="3:36">
      <c r="C51" s="16"/>
      <c r="E51" s="16"/>
      <c r="F51" s="16"/>
      <c r="G51" s="16"/>
      <c r="AJ51" s="23"/>
    </row>
    <row r="52" spans="3:36">
      <c r="C52" s="16"/>
      <c r="E52" s="16"/>
      <c r="F52" s="16"/>
      <c r="G52" s="16"/>
      <c r="AJ52" s="23"/>
    </row>
    <row r="53" spans="3:36">
      <c r="C53" s="16"/>
      <c r="E53" s="16"/>
      <c r="F53" s="16"/>
      <c r="G53" s="16"/>
      <c r="AJ53" s="23"/>
    </row>
    <row r="54" spans="3:36">
      <c r="C54" s="16"/>
      <c r="E54" s="16"/>
      <c r="F54" s="16"/>
      <c r="G54" s="16"/>
      <c r="AJ54" s="23"/>
    </row>
    <row r="55" spans="3:36">
      <c r="C55" s="16"/>
      <c r="E55" s="16"/>
      <c r="F55" s="16"/>
      <c r="G55" s="1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0EF9C3-078C-45C5-9FC1-FAFC045345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7</vt:i4>
      </vt:variant>
    </vt:vector>
  </HeadingPairs>
  <TitlesOfParts>
    <vt:vector size="7" baseType="lpstr">
      <vt:lpstr>control</vt:lpstr>
      <vt:lpstr>raw_data</vt:lpstr>
      <vt:lpstr>input</vt:lpstr>
      <vt:lpstr>segéd</vt:lpstr>
      <vt:lpstr>mapping</vt:lpstr>
      <vt:lpstr>sablon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Csaba Pintér</dc:creator>
  <cp:lastModifiedBy>Norbert Králik</cp:lastModifiedBy>
  <dcterms:created xsi:type="dcterms:W3CDTF">2024-06-28T06:43:51Z</dcterms:created>
  <dcterms:modified xsi:type="dcterms:W3CDTF">2026-03-18T11:51:33Z</dcterms:modified>
</cp:coreProperties>
</file>