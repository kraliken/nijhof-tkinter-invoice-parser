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Nijhof_W88\3_ONBOARDING\.CEGNEV\1_KONYVELES IMPL\Guide\multialarm\"/>
    </mc:Choice>
  </mc:AlternateContent>
  <xr:revisionPtr revIDLastSave="0" documentId="13_ncr:1_{A5F5FB2D-9E29-4D6B-98D8-D013F9C56544}" xr6:coauthVersionLast="47" xr6:coauthVersionMax="47" xr10:uidLastSave="{00000000-0000-0000-0000-000000000000}"/>
  <bookViews>
    <workbookView xWindow="-108" yWindow="-108" windowWidth="23256" windowHeight="12456" tabRatio="762" xr2:uid="{00000000-000D-0000-FFFF-FFFF00000000}"/>
  </bookViews>
  <sheets>
    <sheet name="control" sheetId="5" r:id="rId1"/>
    <sheet name="raw_data" sheetId="10" r:id="rId2"/>
    <sheet name="általános sablon" sheetId="1" r:id="rId3"/>
    <sheet name="mapping" sheetId="4" r:id="rId4"/>
    <sheet name="Output" sheetId="6" r:id="rId5"/>
  </sheets>
  <definedNames>
    <definedName name="_xlnm._FilterDatabase" localSheetId="2" hidden="1">'általános sablon'!$A$4:$AZ$4</definedName>
    <definedName name="_xlnm._FilterDatabase" localSheetId="3" hidden="1">mapping!$F$1:$G$206</definedName>
    <definedName name="_xlnm._FilterDatabase" localSheetId="4" hidden="1">Output!$A$4:$AY$4</definedName>
    <definedName name="_xlnm._FilterDatabase" localSheetId="1" hidden="1">raw_data!$A$1:$M$1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0" i="6" l="1"/>
  <c r="Z10" i="6"/>
  <c r="AB9" i="6"/>
  <c r="Z9" i="6"/>
  <c r="AB8" i="6"/>
  <c r="Z8" i="6"/>
  <c r="AB7" i="6"/>
  <c r="Z7" i="6"/>
  <c r="AB6" i="6"/>
  <c r="Z6" i="6"/>
  <c r="AB5" i="6"/>
  <c r="Z5" i="6"/>
  <c r="Z5" i="1"/>
  <c r="Z6" i="1"/>
  <c r="Z7" i="1"/>
  <c r="Z8" i="1"/>
  <c r="Z9" i="1"/>
  <c r="Z10" i="1"/>
  <c r="AB5" i="1"/>
  <c r="AB6" i="1"/>
  <c r="AB7" i="1"/>
  <c r="AB8" i="1"/>
  <c r="AB9" i="1"/>
  <c r="AB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4" authorId="0" shapeId="0" xr:uid="{00000000-0006-0000-0100-000001000000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
</t>
        </r>
      </text>
    </comment>
    <comment ref="C4" authorId="0" shapeId="0" xr:uid="{00000000-0006-0000-0100-000002000000}">
      <text>
        <r>
          <rPr>
            <sz val="9"/>
            <color indexed="81"/>
            <rFont val="Tahoma"/>
            <family val="2"/>
            <charset val="238"/>
          </rPr>
          <t xml:space="preserve">Msx:
Könyvelési időszak, normál esetben megegyezik a teljesítés dátumával
</t>
        </r>
      </text>
    </comment>
    <comment ref="D4" authorId="0" shapeId="0" xr:uid="{00000000-0006-0000-0100-000003000000}">
      <text>
        <r>
          <rPr>
            <sz val="9"/>
            <color indexed="81"/>
            <rFont val="Tahoma"/>
            <family val="2"/>
            <charset val="238"/>
          </rPr>
          <t xml:space="preserve">Msx:
Áfa időszak
Csak akkor kell megadni, ha az áfa más időszakra könyvelődik, mint ami a számla teljesítési időpontja.
Ha nem egyezik meg a teljesítési időponttal, akkor automatikusan egy halasztott áfás tétel könyvelődik a megadott időszakra, a beállításoknál megadott átvezetési számlával szemben.
</t>
        </r>
      </text>
    </comment>
    <comment ref="H4" authorId="0" shapeId="0" xr:uid="{00000000-0006-0000-0100-000004000000}">
      <text>
        <r>
          <rPr>
            <sz val="9"/>
            <color indexed="81"/>
            <rFont val="Tahoma"/>
            <family val="2"/>
            <charset val="238"/>
          </rPr>
          <t xml:space="preserve">Msx:
Szállítói iktatószám, nyilvántartási szám
</t>
        </r>
      </text>
    </comment>
    <comment ref="J4" authorId="0" shapeId="0" xr:uid="{00000000-0006-0000-0100-000005000000}">
      <text>
        <r>
          <rPr>
            <sz val="9"/>
            <color indexed="81"/>
            <rFont val="Tahoma"/>
            <family val="2"/>
            <charset val="238"/>
          </rPr>
          <t xml:space="preserve">Msx:
Átadó rendszerben a partnerekhez kapcsolódó kód,azonosító - akár a belső partner azonosító - , főkönyvi rendszer tárolja a partnerek későbbi azonosításához
</t>
        </r>
      </text>
    </comment>
    <comment ref="S4" authorId="0" shapeId="0" xr:uid="{00000000-0006-0000-0100-000006000000}">
      <text>
        <r>
          <rPr>
            <sz val="9"/>
            <color indexed="81"/>
            <rFont val="Tahoma"/>
            <family val="2"/>
            <charset val="238"/>
          </rPr>
          <t xml:space="preserve">Msx:
Gazdasági esemény leírása
</t>
        </r>
      </text>
    </comment>
    <comment ref="T4" authorId="0" shapeId="0" xr:uid="{00000000-0006-0000-0100-000007000000}">
      <text>
        <r>
          <rPr>
            <sz val="9"/>
            <color indexed="81"/>
            <rFont val="Tahoma"/>
            <family val="2"/>
            <charset val="238"/>
          </rPr>
          <t xml:space="preserve">Msx:
Ellenszámla
pld. Költségszámla
</t>
        </r>
      </text>
    </comment>
    <comment ref="V4" authorId="0" shapeId="0" xr:uid="{00000000-0006-0000-0100-000008000000}">
      <text>
        <r>
          <rPr>
            <sz val="9"/>
            <color indexed="81"/>
            <rFont val="Tahoma"/>
            <family val="2"/>
            <charset val="238"/>
          </rPr>
          <t xml:space="preserve">Msx:
EU beszerzésnél ill. fordított adózásnál a fizetendő áfa főkönyvi szám
</t>
        </r>
      </text>
    </comment>
    <comment ref="W4" authorId="0" shapeId="0" xr:uid="{00000000-0006-0000-0100-000009000000}">
      <text>
        <r>
          <rPr>
            <sz val="9"/>
            <color indexed="81"/>
            <rFont val="Tahoma"/>
            <family val="2"/>
            <charset val="238"/>
          </rPr>
          <t xml:space="preserve">Msx:
Áfakulcs
Nem adóköteles kulcsok is lehetnek szabadon max. 2 karakter hosszúságban.
Pld. AM,TM stb.
N - ha az adott tétel nem tartozik áfa hatály alá.
EU beszerzés esetén az áfakulcs
"KT" - közösségi termék vagy
"KS" - közösségi szolgáltatás
Az áfa főkönyvi szám oszlopkban ("S","T") megadott főkönyvi számokra a rendszer automatikusan lekönyveli az EU áfát a "V" oszlopban megadott áfakulccsal.
Fordított adózásnál
"FA" - fordított adózás
Az áfa főkönyvi szám oszlopkban ("S","T") megadott főkönyvi számokra a rendszer automatikusan lekönyveli a fordított áfát a "V" oszlopban megadott áfakulccsal.
</t>
        </r>
      </text>
    </comment>
    <comment ref="X4" authorId="0" shapeId="0" xr:uid="{00000000-0006-0000-0100-00000A000000}">
      <text>
        <r>
          <rPr>
            <sz val="9"/>
            <color indexed="81"/>
            <rFont val="Tahoma"/>
            <family val="2"/>
            <charset val="238"/>
          </rPr>
          <t>Msx:
EU beszerzésnél ill. fordított adózásnál a fizetendő ill. visszaigényelhető áfa főkönyvi számokra ("S" és "T" oszlop), az itt megadott áfakulccsal kerül lekönyvelésre.</t>
        </r>
      </text>
    </comment>
    <comment ref="Y4" authorId="0" shapeId="0" xr:uid="{00000000-0006-0000-0100-00000B000000}">
      <text>
        <r>
          <rPr>
            <sz val="9"/>
            <color indexed="81"/>
            <rFont val="Tahoma"/>
            <family val="2"/>
            <charset val="238"/>
          </rPr>
          <t xml:space="preserve">Msx:
Vissza nem igényelhető áfa esetén a vissza nem igénylehető áfa %-ot kell megadni.
</t>
        </r>
      </text>
    </comment>
    <comment ref="Z4" authorId="0" shapeId="0" xr:uid="{00000000-0006-0000-0100-00000C000000}">
      <text>
        <r>
          <rPr>
            <sz val="9"/>
            <color indexed="81"/>
            <rFont val="Tahoma"/>
            <family val="2"/>
            <charset val="238"/>
          </rPr>
          <t xml:space="preserve">Msx:
Főkönyvi számhoz (ellenszámlához kapcsolódó gyűjtés(ek).
4 további gyűjtőcsoportba tartozó gyűjtőkód adható meg. (kód és megnevezés)
Gyűjtő csoportok beállítása a főkönyvi rendszerben adható meg, az alapján történik az itt megadott gyűjtő(k)re a könyvelés.
</t>
        </r>
      </text>
    </comment>
    <comment ref="AH4" authorId="0" shapeId="0" xr:uid="{00000000-0006-0000-0100-00000D000000}">
      <text>
        <r>
          <rPr>
            <sz val="9"/>
            <color indexed="81"/>
            <rFont val="Tahoma"/>
            <family val="2"/>
            <charset val="238"/>
          </rPr>
          <t xml:space="preserve">Msx:
Nettó összeg
Az összeg +/- előjele határozza meg, hogy a Tartozik vagy Követel oldalra kerül a könyvelésben.
A 2. "B" oszlopban megadott Főkönyvi számhoz viszonyítva.
  </t>
        </r>
      </text>
    </comment>
    <comment ref="AI4" authorId="0" shapeId="0" xr:uid="{00000000-0006-0000-0100-00000E000000}">
      <text>
        <r>
          <rPr>
            <sz val="9"/>
            <color indexed="81"/>
            <rFont val="Tahoma"/>
            <family val="2"/>
            <charset val="238"/>
          </rPr>
          <t xml:space="preserve">Msx:
Áfa összeg
Az összeg +/- előjele határozza meg, hogy a Tartozik vagy Követel oldalra kerül a könyvelésben.
A 2. "B" oszlopban megadott Főkönyvi számhoz viszonyítva.
  </t>
        </r>
      </text>
    </comment>
    <comment ref="AJ4" authorId="0" shapeId="0" xr:uid="{00000000-0006-0000-0100-00000F000000}">
      <text>
        <r>
          <rPr>
            <sz val="9"/>
            <color indexed="81"/>
            <rFont val="Tahoma"/>
            <family val="2"/>
            <charset val="238"/>
          </rPr>
          <t xml:space="preserve">Msx:
Deviza nettó összeg
Az összeg +/- előjele határozza meg, hogy a Tartozik vagy Követel oldalra kerül a könyvelésben.
A 2. "B" oszlopban megadott Főkönyvi számhoz viszonyítva.
  </t>
        </r>
      </text>
    </comment>
    <comment ref="AK4" authorId="0" shapeId="0" xr:uid="{00000000-0006-0000-0100-000010000000}">
      <text>
        <r>
          <rPr>
            <sz val="9"/>
            <color indexed="81"/>
            <rFont val="Tahoma"/>
            <family val="2"/>
            <charset val="238"/>
          </rPr>
          <t xml:space="preserve">Msx:
Deviza áfa összeg
Az összeg +/- előjele határozza meg, hogy a Tartozik vagy Követel oldalra kerül a könyvelésben.
A 2. "B" oszlopban megadott Főkönyvi számhoz viszonyítva.
  </t>
        </r>
      </text>
    </comment>
    <comment ref="AN4" authorId="0" shapeId="0" xr:uid="{00000000-0006-0000-0100-000011000000}">
      <text>
        <r>
          <rPr>
            <sz val="9"/>
            <color indexed="81"/>
            <rFont val="Tahoma"/>
            <family val="2"/>
            <charset val="238"/>
          </rPr>
          <t>Msx:
Ellenszámlához tartozó 
megjegyzés</t>
        </r>
      </text>
    </comment>
    <comment ref="AO4" authorId="0" shapeId="0" xr:uid="{00000000-0006-0000-0100-000012000000}">
      <text>
        <r>
          <rPr>
            <sz val="9"/>
            <color indexed="81"/>
            <rFont val="Tahoma"/>
            <family val="2"/>
            <charset val="238"/>
          </rPr>
          <t xml:space="preserve">Msx:
Készpénzes számla jelölése
Készpénzes számla esetén a 2. oszlopban pénztár főkönyvi számot kell magadni.
</t>
        </r>
      </text>
    </comment>
    <comment ref="AP4" authorId="0" shapeId="0" xr:uid="{00000000-0006-0000-0100-000013000000}">
      <text>
        <r>
          <rPr>
            <sz val="9"/>
            <color indexed="81"/>
            <rFont val="Tahoma"/>
            <family val="2"/>
            <charset val="238"/>
          </rPr>
          <t xml:space="preserve">Msx:
Sztornózott számla száma
</t>
        </r>
      </text>
    </comment>
    <comment ref="AQ4" authorId="0" shapeId="0" xr:uid="{00000000-0006-0000-0100-000014000000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számhoz 
tartozó megjegyzés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4" authorId="0" shapeId="0" xr:uid="{4DCE1A3C-ED55-44E5-80D7-168FEB262114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
</t>
        </r>
      </text>
    </comment>
    <comment ref="C4" authorId="0" shapeId="0" xr:uid="{D6BBCAF9-EF0D-4401-BACA-648696597606}">
      <text>
        <r>
          <rPr>
            <sz val="9"/>
            <color indexed="81"/>
            <rFont val="Tahoma"/>
            <family val="2"/>
            <charset val="238"/>
          </rPr>
          <t xml:space="preserve">Msx:
Könyvelési időszak, normál esetben megegyezik a teljesítés dátumával
</t>
        </r>
      </text>
    </comment>
    <comment ref="D4" authorId="0" shapeId="0" xr:uid="{FF09FEA6-C909-48FC-B63D-F1AD806B7B55}">
      <text>
        <r>
          <rPr>
            <sz val="9"/>
            <color indexed="81"/>
            <rFont val="Tahoma"/>
            <family val="2"/>
            <charset val="238"/>
          </rPr>
          <t xml:space="preserve">Msx:
Áfa időszak
Csak akkor kell megadni, ha az áfa más időszakra könyvelődik, mint ami a számla teljesítési időpontja.
Ha nem egyezik meg a teljesítési időponttal, akkor automatikusan egy halasztott áfás tétel könyvelődik a megadott időszakra, a beállításoknál megadott átvezetési számlával szemben.
</t>
        </r>
      </text>
    </comment>
    <comment ref="H4" authorId="0" shapeId="0" xr:uid="{ED1AB25F-2622-43CE-BDC6-6866A404D787}">
      <text>
        <r>
          <rPr>
            <sz val="9"/>
            <color indexed="81"/>
            <rFont val="Tahoma"/>
            <family val="2"/>
            <charset val="238"/>
          </rPr>
          <t xml:space="preserve">Msx:
Szállítói iktatószám, nyilvántartási szám
</t>
        </r>
      </text>
    </comment>
    <comment ref="J4" authorId="0" shapeId="0" xr:uid="{627C3B2B-8C01-4639-B019-562BA8865A6A}">
      <text>
        <r>
          <rPr>
            <sz val="9"/>
            <color indexed="81"/>
            <rFont val="Tahoma"/>
            <family val="2"/>
            <charset val="238"/>
          </rPr>
          <t xml:space="preserve">Msx:
Átadó rendszerben a partnerekhez kapcsolódó kód,azonosító - akár a belső partner azonosító - , főkönyvi rendszer tárolja a partnerek későbbi azonosításához
</t>
        </r>
      </text>
    </comment>
    <comment ref="S4" authorId="0" shapeId="0" xr:uid="{4C97053E-67DB-423E-BD82-D5794BF2B03F}">
      <text>
        <r>
          <rPr>
            <sz val="9"/>
            <color indexed="81"/>
            <rFont val="Tahoma"/>
            <family val="2"/>
            <charset val="238"/>
          </rPr>
          <t xml:space="preserve">Msx:
Gazdasági esemény leírása
</t>
        </r>
      </text>
    </comment>
    <comment ref="T4" authorId="0" shapeId="0" xr:uid="{E3852479-FD6B-4015-B5E0-23EFF6D9948A}">
      <text>
        <r>
          <rPr>
            <sz val="9"/>
            <color indexed="81"/>
            <rFont val="Tahoma"/>
            <family val="2"/>
            <charset val="238"/>
          </rPr>
          <t xml:space="preserve">Msx:
Ellenszámla
pld. Költségszámla
</t>
        </r>
      </text>
    </comment>
    <comment ref="V4" authorId="0" shapeId="0" xr:uid="{37CF3AF0-C526-46C6-BCD1-96D4170FC7AF}">
      <text>
        <r>
          <rPr>
            <sz val="9"/>
            <color indexed="81"/>
            <rFont val="Tahoma"/>
            <family val="2"/>
            <charset val="238"/>
          </rPr>
          <t xml:space="preserve">Msx:
EU beszerzésnél ill. fordított adózásnál a fizetendő áfa főkönyvi szám
</t>
        </r>
      </text>
    </comment>
    <comment ref="W4" authorId="0" shapeId="0" xr:uid="{43FE68A6-62D7-4A5C-BB84-B09297DC47C4}">
      <text>
        <r>
          <rPr>
            <sz val="9"/>
            <color indexed="81"/>
            <rFont val="Tahoma"/>
            <family val="2"/>
            <charset val="238"/>
          </rPr>
          <t xml:space="preserve">Msx:
Áfakulcs
Nem adóköteles kulcsok is lehetnek szabadon max. 2 karakter hosszúságban.
Pld. AM,TM stb.
N - ha az adott tétel nem tartozik áfa hatály alá.
EU beszerzés esetén az áfakulcs
"KT" - közösségi termék vagy
"KS" - közösségi szolgáltatás
Az áfa főkönyvi szám oszlopkban ("S","T") megadott főkönyvi számokra a rendszer automatikusan lekönyveli az EU áfát a "V" oszlopban megadott áfakulccsal.
Fordított adózásnál
"FA" - fordított adózás
Az áfa főkönyvi szám oszlopkban ("S","T") megadott főkönyvi számokra a rendszer automatikusan lekönyveli a fordított áfát a "V" oszlopban megadott áfakulccsal.
</t>
        </r>
      </text>
    </comment>
    <comment ref="X4" authorId="0" shapeId="0" xr:uid="{624462F0-B947-4E45-B47A-C8F586C627A1}">
      <text>
        <r>
          <rPr>
            <sz val="9"/>
            <color indexed="81"/>
            <rFont val="Tahoma"/>
            <family val="2"/>
            <charset val="238"/>
          </rPr>
          <t>Msx:
EU beszerzésnél ill. fordított adózásnál a fizetendő ill. visszaigényelhető áfa főkönyvi számokra ("S" és "T" oszlop), az itt megadott áfakulccsal kerül lekönyvelésre.</t>
        </r>
      </text>
    </comment>
    <comment ref="Y4" authorId="0" shapeId="0" xr:uid="{C80B4C4F-31A5-4037-BFA5-9E56F1A92EFB}">
      <text>
        <r>
          <rPr>
            <sz val="9"/>
            <color indexed="81"/>
            <rFont val="Tahoma"/>
            <family val="2"/>
            <charset val="238"/>
          </rPr>
          <t xml:space="preserve">Msx:
Vissza nem igényelhető áfa esetén a vissza nem igénylehető áfa %-ot kell megadni.
</t>
        </r>
      </text>
    </comment>
    <comment ref="Z4" authorId="0" shapeId="0" xr:uid="{97FF843E-DBB8-49C4-897F-DB4BFF5C0031}">
      <text>
        <r>
          <rPr>
            <sz val="9"/>
            <color indexed="81"/>
            <rFont val="Tahoma"/>
            <family val="2"/>
            <charset val="238"/>
          </rPr>
          <t xml:space="preserve">Msx:
Főkönyvi számhoz (ellenszámlához kapcsolódó gyűjtés(ek).
4 további gyűjtőcsoportba tartozó gyűjtőkód adható meg. (kód és megnevezés)
Gyűjtő csoportok beállítása a főkönyvi rendszerben adható meg, az alapján történik az itt megadott gyűjtő(k)re a könyvelés.
</t>
        </r>
      </text>
    </comment>
    <comment ref="AH4" authorId="0" shapeId="0" xr:uid="{FD0DF22A-2B0F-42CD-93F8-B81659F68DAB}">
      <text>
        <r>
          <rPr>
            <sz val="9"/>
            <color indexed="81"/>
            <rFont val="Tahoma"/>
            <family val="2"/>
            <charset val="238"/>
          </rPr>
          <t xml:space="preserve">Msx:
Nettó összeg
Az összeg +/- előjele határozza meg, hogy a Tartozik vagy Követel oldalra kerül a könyvelésben.
A 2. "B" oszlopban megadott Főkönyvi számhoz viszonyítva.
  </t>
        </r>
      </text>
    </comment>
    <comment ref="AI4" authorId="0" shapeId="0" xr:uid="{F55D51E9-4F82-4475-92D2-781EA85D2260}">
      <text>
        <r>
          <rPr>
            <sz val="9"/>
            <color indexed="81"/>
            <rFont val="Tahoma"/>
            <family val="2"/>
            <charset val="238"/>
          </rPr>
          <t xml:space="preserve">Msx:
Áfa összeg
Az összeg +/- előjele határozza meg, hogy a Tartozik vagy Követel oldalra kerül a könyvelésben.
A 2. "B" oszlopban megadott Főkönyvi számhoz viszonyítva.
  </t>
        </r>
      </text>
    </comment>
    <comment ref="AJ4" authorId="0" shapeId="0" xr:uid="{E3CA2E70-235A-4205-BC9D-F742F9CC0406}">
      <text>
        <r>
          <rPr>
            <sz val="9"/>
            <color indexed="81"/>
            <rFont val="Tahoma"/>
            <family val="2"/>
            <charset val="238"/>
          </rPr>
          <t xml:space="preserve">Msx:
Deviza nettó összeg
Az összeg +/- előjele határozza meg, hogy a Tartozik vagy Követel oldalra kerül a könyvelésben.
A 2. "B" oszlopban megadott Főkönyvi számhoz viszonyítva.
  </t>
        </r>
      </text>
    </comment>
    <comment ref="AK4" authorId="0" shapeId="0" xr:uid="{AEA5CCAE-E92A-4F31-BEC1-B7B3292395A1}">
      <text>
        <r>
          <rPr>
            <sz val="9"/>
            <color indexed="81"/>
            <rFont val="Tahoma"/>
            <family val="2"/>
            <charset val="238"/>
          </rPr>
          <t xml:space="preserve">Msx:
Deviza áfa összeg
Az összeg +/- előjele határozza meg, hogy a Tartozik vagy Követel oldalra kerül a könyvelésben.
A 2. "B" oszlopban megadott Főkönyvi számhoz viszonyítva.
  </t>
        </r>
      </text>
    </comment>
    <comment ref="AN4" authorId="0" shapeId="0" xr:uid="{31B8B95A-CABB-4FBF-9A1C-8C146FC75B64}">
      <text>
        <r>
          <rPr>
            <sz val="9"/>
            <color indexed="81"/>
            <rFont val="Tahoma"/>
            <family val="2"/>
            <charset val="238"/>
          </rPr>
          <t>Msx:
Ellenszámlához tartozó 
megjegyzés</t>
        </r>
      </text>
    </comment>
    <comment ref="AO4" authorId="0" shapeId="0" xr:uid="{BA14B656-F28E-4F6F-9503-50B9A6C65F46}">
      <text>
        <r>
          <rPr>
            <sz val="9"/>
            <color indexed="81"/>
            <rFont val="Tahoma"/>
            <family val="2"/>
            <charset val="238"/>
          </rPr>
          <t xml:space="preserve">Msx:
Készpénzes számla jelölése
Készpénzes számla esetén a 2. oszlopban pénztár főkönyvi számot kell magadni.
</t>
        </r>
      </text>
    </comment>
    <comment ref="AP4" authorId="0" shapeId="0" xr:uid="{9169D5DF-F7D7-4F88-8B7A-1A8E0B9F2381}">
      <text>
        <r>
          <rPr>
            <sz val="9"/>
            <color indexed="81"/>
            <rFont val="Tahoma"/>
            <family val="2"/>
            <charset val="238"/>
          </rPr>
          <t xml:space="preserve">Msx:
Sztornózott számla száma
</t>
        </r>
      </text>
    </comment>
    <comment ref="AQ4" authorId="0" shapeId="0" xr:uid="{070AE188-61F9-4734-8A46-1227DE66A7C9}">
      <text>
        <r>
          <rPr>
            <sz val="9"/>
            <color indexed="81"/>
            <rFont val="Tahoma"/>
            <family val="2"/>
            <charset val="238"/>
          </rPr>
          <t xml:space="preserve">Msx:
Szállító főkönyvi számhoz 
tartozó megjegyzés
</t>
        </r>
      </text>
    </comment>
  </commentList>
</comments>
</file>

<file path=xl/sharedStrings.xml><?xml version="1.0" encoding="utf-8"?>
<sst xmlns="http://schemas.openxmlformats.org/spreadsheetml/2006/main" count="873" uniqueCount="306">
  <si>
    <t>szöveg</t>
  </si>
  <si>
    <t>dátum</t>
  </si>
  <si>
    <t>szám</t>
  </si>
  <si>
    <t>C(1)</t>
  </si>
  <si>
    <t>C(10)</t>
  </si>
  <si>
    <t>D</t>
  </si>
  <si>
    <t>C(25)</t>
  </si>
  <si>
    <t>C(120)</t>
  </si>
  <si>
    <t>C(30)</t>
  </si>
  <si>
    <t>C(40)</t>
  </si>
  <si>
    <t>C(13)</t>
  </si>
  <si>
    <t>C(20)</t>
  </si>
  <si>
    <t>C(24)</t>
  </si>
  <si>
    <t>C(2)</t>
  </si>
  <si>
    <t>N(3)</t>
  </si>
  <si>
    <t>C(80)</t>
  </si>
  <si>
    <t>N(15,2)</t>
  </si>
  <si>
    <t>C(3)</t>
  </si>
  <si>
    <t>N(10,6)</t>
  </si>
  <si>
    <t>kötelező</t>
  </si>
  <si>
    <t>kötelező (ha kontírozott)</t>
  </si>
  <si>
    <t>kötelező (ha forint számla)</t>
  </si>
  <si>
    <t>kötelező (ha forint számla és van)</t>
  </si>
  <si>
    <t>kötelező (ha deviza számla)</t>
  </si>
  <si>
    <t>kötelező (ha deviza számla és van)</t>
  </si>
  <si>
    <t>Forgalmi napló típusa</t>
  </si>
  <si>
    <t>Főkönyvi szám</t>
  </si>
  <si>
    <t>Könyvelési időszak</t>
  </si>
  <si>
    <t>Áfa időszak</t>
  </si>
  <si>
    <t>Teljesítés ideje</t>
  </si>
  <si>
    <t>Számla kelte</t>
  </si>
  <si>
    <t>Fizetési határidő</t>
  </si>
  <si>
    <t>Nyilv. Szám</t>
  </si>
  <si>
    <t>Számla szám</t>
  </si>
  <si>
    <t>Partner kód</t>
  </si>
  <si>
    <t>Partner neve</t>
  </si>
  <si>
    <t>Irányító szám</t>
  </si>
  <si>
    <t>Város</t>
  </si>
  <si>
    <t>Utca</t>
  </si>
  <si>
    <t>Adószám</t>
  </si>
  <si>
    <t>EU adószám</t>
  </si>
  <si>
    <t>Bankszámla szám (belföldi)</t>
  </si>
  <si>
    <t>Bankszámla szám (külföldi)</t>
  </si>
  <si>
    <t>Jogcím</t>
  </si>
  <si>
    <t>Fkvi. szla. (ellenszámla)</t>
  </si>
  <si>
    <t>Áfa főkönyvi szám</t>
  </si>
  <si>
    <t>Áfa főkönyvi szám (fizetendő - EU,FA)</t>
  </si>
  <si>
    <t>ÁFA kulcs</t>
  </si>
  <si>
    <t>ÁFA kulcs (EU,FA)</t>
  </si>
  <si>
    <t>Vissza nem igényelhető áfa%</t>
  </si>
  <si>
    <t>Gyűjtő1 kód</t>
  </si>
  <si>
    <t>Gyűjtő1 név</t>
  </si>
  <si>
    <t>Gyűjtő2 kód</t>
  </si>
  <si>
    <t>Gyűjtő2 név</t>
  </si>
  <si>
    <t>Gyűjtő3 kód</t>
  </si>
  <si>
    <t>Gyűjtő3 név</t>
  </si>
  <si>
    <t>Gyűjtő4 kód</t>
  </si>
  <si>
    <t>Gyűjtő4 név</t>
  </si>
  <si>
    <t>Nettó összeg</t>
  </si>
  <si>
    <t>Áfa összeg</t>
  </si>
  <si>
    <t>Deviza nettó összeg</t>
  </si>
  <si>
    <t xml:space="preserve">Deviza áfa összeg </t>
  </si>
  <si>
    <t>Devizanem</t>
  </si>
  <si>
    <t>Árfolyam</t>
  </si>
  <si>
    <t>Tétel megjegyzés</t>
  </si>
  <si>
    <t>Készpénzes számla</t>
  </si>
  <si>
    <t>Sztornózott számla száma</t>
  </si>
  <si>
    <t>Fejléc megjegyzés</t>
  </si>
  <si>
    <t>NWH056</t>
  </si>
  <si>
    <t>NWH060</t>
  </si>
  <si>
    <t>NWH016</t>
  </si>
  <si>
    <t>NWH035</t>
  </si>
  <si>
    <t>NWH023</t>
  </si>
  <si>
    <t>NWH057</t>
  </si>
  <si>
    <t>NWH066</t>
  </si>
  <si>
    <t>NWH059</t>
  </si>
  <si>
    <t>NWH063</t>
  </si>
  <si>
    <t>NWH053</t>
  </si>
  <si>
    <t>NWH027</t>
  </si>
  <si>
    <t>NWH067</t>
  </si>
  <si>
    <t>NWH055</t>
  </si>
  <si>
    <t>NWH029</t>
  </si>
  <si>
    <t>NWH021</t>
  </si>
  <si>
    <t>NWH054</t>
  </si>
  <si>
    <t>Cost center</t>
  </si>
  <si>
    <t>Licence plate</t>
  </si>
  <si>
    <t>code</t>
  </si>
  <si>
    <t>IJX472</t>
  </si>
  <si>
    <t>SECIND</t>
  </si>
  <si>
    <t>KSK035</t>
  </si>
  <si>
    <t>SECDIR</t>
  </si>
  <si>
    <t>LZS676</t>
  </si>
  <si>
    <t>MWX530</t>
  </si>
  <si>
    <t>IND</t>
  </si>
  <si>
    <t>NFD338</t>
  </si>
  <si>
    <t>NWH002</t>
  </si>
  <si>
    <t>NWH004</t>
  </si>
  <si>
    <t>NWH006</t>
  </si>
  <si>
    <t>NWH007</t>
  </si>
  <si>
    <t>NWH008</t>
  </si>
  <si>
    <t>NWH009</t>
  </si>
  <si>
    <t>NWH012</t>
  </si>
  <si>
    <t>NWH013</t>
  </si>
  <si>
    <t>NWH014</t>
  </si>
  <si>
    <t>NWH015</t>
  </si>
  <si>
    <t>NWH017</t>
  </si>
  <si>
    <t>NWH018</t>
  </si>
  <si>
    <t>NWH019</t>
  </si>
  <si>
    <t>NWH020</t>
  </si>
  <si>
    <t>NWH022</t>
  </si>
  <si>
    <t>NWH024</t>
  </si>
  <si>
    <t>NWH025</t>
  </si>
  <si>
    <t>NWH026</t>
  </si>
  <si>
    <t>NWH028</t>
  </si>
  <si>
    <t>NWH030</t>
  </si>
  <si>
    <t>NWH031</t>
  </si>
  <si>
    <t>NWH032</t>
  </si>
  <si>
    <t>NWH033</t>
  </si>
  <si>
    <t>NWH034</t>
  </si>
  <si>
    <t>NWH036</t>
  </si>
  <si>
    <t>NWH037</t>
  </si>
  <si>
    <t>NWH038</t>
  </si>
  <si>
    <t>NWH039</t>
  </si>
  <si>
    <t>NWH041</t>
  </si>
  <si>
    <t>NWH042</t>
  </si>
  <si>
    <t>NWH043</t>
  </si>
  <si>
    <t>NWH044</t>
  </si>
  <si>
    <t>NWH046</t>
  </si>
  <si>
    <t>NWH047</t>
  </si>
  <si>
    <t>NWH048</t>
  </si>
  <si>
    <t>NWH049</t>
  </si>
  <si>
    <t>NWH051</t>
  </si>
  <si>
    <t>NWH052</t>
  </si>
  <si>
    <t>NWH058</t>
  </si>
  <si>
    <t>NWH061</t>
  </si>
  <si>
    <t>NWH062</t>
  </si>
  <si>
    <t>PLV437</t>
  </si>
  <si>
    <t>PVM702</t>
  </si>
  <si>
    <t>WAB796</t>
  </si>
  <si>
    <t>WAH081</t>
  </si>
  <si>
    <t>WAH621</t>
  </si>
  <si>
    <t>WAK853</t>
  </si>
  <si>
    <t>WAK854</t>
  </si>
  <si>
    <t>WBC017</t>
  </si>
  <si>
    <t>WBC018</t>
  </si>
  <si>
    <t>WBC046</t>
  </si>
  <si>
    <t>WBE439</t>
  </si>
  <si>
    <t>WBX938</t>
  </si>
  <si>
    <t>WBZ896</t>
  </si>
  <si>
    <t>WCK025</t>
  </si>
  <si>
    <t>WDR804</t>
  </si>
  <si>
    <t>WDV394</t>
  </si>
  <si>
    <t>WDV395</t>
  </si>
  <si>
    <t>WDX104</t>
  </si>
  <si>
    <t>WEA308</t>
  </si>
  <si>
    <t>WEA371</t>
  </si>
  <si>
    <t>WEA373</t>
  </si>
  <si>
    <t>WEA409</t>
  </si>
  <si>
    <t>WEA410</t>
  </si>
  <si>
    <t>XXY241</t>
  </si>
  <si>
    <t>XZD219</t>
  </si>
  <si>
    <t>XZD220</t>
  </si>
  <si>
    <t>XZD224</t>
  </si>
  <si>
    <t>XZJ619</t>
  </si>
  <si>
    <t>XZJ626</t>
  </si>
  <si>
    <t>XZZ727</t>
  </si>
  <si>
    <t>WNH001</t>
  </si>
  <si>
    <t>WNH003</t>
  </si>
  <si>
    <t>WNH002</t>
  </si>
  <si>
    <t>WEM645</t>
  </si>
  <si>
    <t>WEK200</t>
  </si>
  <si>
    <t>WEK287</t>
  </si>
  <si>
    <t>WNH005</t>
  </si>
  <si>
    <t>OPEN2</t>
  </si>
  <si>
    <t>OPEN1</t>
  </si>
  <si>
    <t>WNH004</t>
  </si>
  <si>
    <t>WEP247</t>
  </si>
  <si>
    <t>WNH006</t>
  </si>
  <si>
    <t>WNH007</t>
  </si>
  <si>
    <t>WNH008</t>
  </si>
  <si>
    <t>WNH009</t>
  </si>
  <si>
    <t>WEW343</t>
  </si>
  <si>
    <t>SNG786</t>
  </si>
  <si>
    <t>WNH010</t>
  </si>
  <si>
    <t>WNH011</t>
  </si>
  <si>
    <t>WNH012</t>
  </si>
  <si>
    <t>WNH013</t>
  </si>
  <si>
    <t>WNH014</t>
  </si>
  <si>
    <t>WNH015</t>
  </si>
  <si>
    <t>WNH016</t>
  </si>
  <si>
    <t>WNH017</t>
  </si>
  <si>
    <t>WNH018</t>
  </si>
  <si>
    <t>WNH019</t>
  </si>
  <si>
    <t>WNH020</t>
  </si>
  <si>
    <t>WNH021</t>
  </si>
  <si>
    <t>SKN979</t>
  </si>
  <si>
    <t>SUS690</t>
  </si>
  <si>
    <t>Classif</t>
  </si>
  <si>
    <t>WFL939</t>
  </si>
  <si>
    <t>WFR543</t>
  </si>
  <si>
    <t>WFT940</t>
  </si>
  <si>
    <t>OPEN3</t>
  </si>
  <si>
    <t>THF243</t>
  </si>
  <si>
    <t>THF244</t>
  </si>
  <si>
    <t>WGK863</t>
  </si>
  <si>
    <t>AACE134</t>
  </si>
  <si>
    <t>AACI887</t>
  </si>
  <si>
    <t>AADF354</t>
  </si>
  <si>
    <t>AAET169</t>
  </si>
  <si>
    <t>AAFC928</t>
  </si>
  <si>
    <t>AAFD030</t>
  </si>
  <si>
    <t>AABN268</t>
  </si>
  <si>
    <t>AAFD067</t>
  </si>
  <si>
    <t>AAHR352</t>
  </si>
  <si>
    <t>AAIT842</t>
  </si>
  <si>
    <t>AAJQ633</t>
  </si>
  <si>
    <t>AAKM277</t>
  </si>
  <si>
    <t>AAKV970</t>
  </si>
  <si>
    <t>AEAA923</t>
  </si>
  <si>
    <t>AEAA924</t>
  </si>
  <si>
    <t>AEAM008</t>
  </si>
  <si>
    <t>AEAV882</t>
  </si>
  <si>
    <t>AECU228</t>
  </si>
  <si>
    <t>AEDV637</t>
  </si>
  <si>
    <t>AECU229</t>
  </si>
  <si>
    <t>AEFI107</t>
  </si>
  <si>
    <t>AEFI108</t>
  </si>
  <si>
    <t>AEFI114</t>
  </si>
  <si>
    <t>AEFI115</t>
  </si>
  <si>
    <t>AEGB567</t>
  </si>
  <si>
    <t>AEGB568</t>
  </si>
  <si>
    <t>AEHF928</t>
  </si>
  <si>
    <t>AEGZ287</t>
  </si>
  <si>
    <t>AEGZ288</t>
  </si>
  <si>
    <t>AEKJ432</t>
  </si>
  <si>
    <t>AEKJ433</t>
  </si>
  <si>
    <t>AEKJ434</t>
  </si>
  <si>
    <t>AEHF929</t>
  </si>
  <si>
    <t>AELG898</t>
  </si>
  <si>
    <t>AELG899</t>
  </si>
  <si>
    <t>AELR354</t>
  </si>
  <si>
    <t>AEMS266</t>
  </si>
  <si>
    <t>N(8)</t>
  </si>
  <si>
    <t>C(50)</t>
  </si>
  <si>
    <t>Fordított áfa VTSZ</t>
  </si>
  <si>
    <t>Fordított áfa mennyiség (kg)</t>
  </si>
  <si>
    <t>Elhatárolás időszaktól</t>
  </si>
  <si>
    <t>Elhatárolás időszakig</t>
  </si>
  <si>
    <t>Elhatárolás összeg</t>
  </si>
  <si>
    <t>Elhatárolás főkönyvi szám</t>
  </si>
  <si>
    <t>Elhatárolás jogcím</t>
  </si>
  <si>
    <t>65M lap dátum (eredeti teljesítés)</t>
  </si>
  <si>
    <t>AIBC024</t>
  </si>
  <si>
    <t>AIBC025</t>
  </si>
  <si>
    <t>AICV179</t>
  </si>
  <si>
    <t>AICV637</t>
  </si>
  <si>
    <t>AICV638</t>
  </si>
  <si>
    <t>S</t>
  </si>
  <si>
    <t>AICX024</t>
  </si>
  <si>
    <t>AIEB954</t>
  </si>
  <si>
    <t>AICX585</t>
  </si>
  <si>
    <t>AICC281</t>
  </si>
  <si>
    <t>AICC282</t>
  </si>
  <si>
    <t>AICC283</t>
  </si>
  <si>
    <t>AICC284</t>
  </si>
  <si>
    <t>AICC287</t>
  </si>
  <si>
    <t>AICC286</t>
  </si>
  <si>
    <t>HUF</t>
  </si>
  <si>
    <t>AIHJ604</t>
  </si>
  <si>
    <t>AICC285</t>
  </si>
  <si>
    <t>AIIE465</t>
  </si>
  <si>
    <t>AIIE910</t>
  </si>
  <si>
    <t>AILJ801</t>
  </si>
  <si>
    <t>AILJ802</t>
  </si>
  <si>
    <t>AILJ803</t>
  </si>
  <si>
    <t>AIKG455</t>
  </si>
  <si>
    <t>AIKG457</t>
  </si>
  <si>
    <t>AILJ804</t>
  </si>
  <si>
    <t>AOAF758</t>
  </si>
  <si>
    <t>AOAF773</t>
  </si>
  <si>
    <t>AOCA651</t>
  </si>
  <si>
    <t>AOCA652</t>
  </si>
  <si>
    <t>AOCA653</t>
  </si>
  <si>
    <t>invoice_number</t>
  </si>
  <si>
    <t>invoice_date</t>
  </si>
  <si>
    <t>payment_due</t>
  </si>
  <si>
    <t>performance_date</t>
  </si>
  <si>
    <t>period_start</t>
  </si>
  <si>
    <t>period_end</t>
  </si>
  <si>
    <t>license_plate</t>
  </si>
  <si>
    <t>net</t>
  </si>
  <si>
    <t>vat_percent</t>
  </si>
  <si>
    <t>Multi Alarm Zrt</t>
  </si>
  <si>
    <t>12072507-00328591-00100001</t>
  </si>
  <si>
    <t>Multialarm</t>
  </si>
  <si>
    <t>vat_amount</t>
  </si>
  <si>
    <t>AOCA655</t>
  </si>
  <si>
    <t>AOCA654</t>
  </si>
  <si>
    <t>AOEK685</t>
  </si>
  <si>
    <t>AOEK686</t>
  </si>
  <si>
    <t>AOEK687</t>
  </si>
  <si>
    <t>AOGO620</t>
  </si>
  <si>
    <t>AOGO619</t>
  </si>
  <si>
    <t>AOGO618</t>
  </si>
  <si>
    <t>AOGO621</t>
  </si>
  <si>
    <t>260106606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</si>
</sst>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0000"/>
    <numFmt numFmtId="165" formatCode="_ * #,##0.00_ ;_ * \-#,##0.00_ ;_ * &quot;-&quot;??_ ;_ @_ "/>
    <numFmt numFmtId="166" formatCode="yyyy\-mm\-dd\ hh:mm:ss"/>
  </numFmts>
  <fonts count="19" x14ac:knownFonts="1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b/>
      <sz val="8"/>
      <name val="Arial"/>
      <family val="2"/>
      <charset val="238"/>
    </font>
    <font>
      <sz val="8"/>
      <color indexed="10"/>
      <name val="Arial"/>
      <family val="2"/>
      <charset val="238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0"/>
      <name val="Arial"/>
      <family val="2"/>
      <charset val="238"/>
    </font>
    <font>
      <b/>
      <sz val="8"/>
      <color theme="0"/>
      <name val="Tahoma"/>
      <family val="2"/>
      <charset val="238"/>
    </font>
    <font>
      <sz val="8"/>
      <name val="Tahoma"/>
      <family val="2"/>
      <charset val="238"/>
    </font>
    <font>
      <sz val="10"/>
      <color rgb="FF000000"/>
      <name val="Times New Roman"/>
      <family val="1"/>
      <charset val="238"/>
    </font>
    <font>
      <sz val="12"/>
      <color theme="1"/>
      <name val="Calibri"/>
      <family val="2"/>
      <scheme val="minor"/>
    </font>
    <font>
      <sz val="8"/>
      <color theme="1"/>
      <name val="Tahoma"/>
      <family val="2"/>
      <charset val="238"/>
    </font>
    <font>
      <b/>
      <sz val="8"/>
      <color theme="1"/>
      <name val="Tahoma"/>
      <family val="2"/>
      <charset val="238"/>
    </font>
    <font>
      <b/>
      <sz val="8"/>
      <color rgb="FF000000"/>
      <name val="Tahoma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4">
    <xf numFmtId="0" fontId="0" fillId="0" borderId="0"/>
    <xf numFmtId="0" fontId="7" fillId="0" borderId="0" applyBorder="0"/>
    <xf numFmtId="0" fontId="5" fillId="0" borderId="0"/>
    <xf numFmtId="0" fontId="8" fillId="0" borderId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4" fillId="0" borderId="0"/>
    <xf numFmtId="43" fontId="11" fillId="0" borderId="0" applyFont="0" applyFill="0" applyBorder="0" applyAlignment="0" applyProtection="0"/>
    <xf numFmtId="0" fontId="14" fillId="0" borderId="0"/>
    <xf numFmtId="0" fontId="15" fillId="0" borderId="0"/>
    <xf numFmtId="0" fontId="1" fillId="0" borderId="0"/>
  </cellStyleXfs>
  <cellXfs count="73">
    <xf numFmtId="0" fontId="0" fillId="0" borderId="0" xfId="0"/>
    <xf numFmtId="14" fontId="2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" fillId="0" borderId="0" xfId="0" applyFont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14" fontId="3" fillId="3" borderId="1" xfId="0" applyNumberFormat="1" applyFont="1" applyFill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49" fontId="0" fillId="0" borderId="0" xfId="0" applyNumberFormat="1"/>
    <xf numFmtId="49" fontId="3" fillId="3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1" fontId="3" fillId="3" borderId="1" xfId="0" applyNumberFormat="1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3" fillId="3" borderId="1" xfId="0" applyNumberFormat="1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1"/>
    <xf numFmtId="0" fontId="4" fillId="0" borderId="0" xfId="0" applyFont="1"/>
    <xf numFmtId="0" fontId="0" fillId="0" borderId="0" xfId="0" applyAlignment="1">
      <alignment horizontal="right"/>
    </xf>
    <xf numFmtId="2" fontId="3" fillId="3" borderId="1" xfId="0" applyNumberFormat="1" applyFont="1" applyFill="1" applyBorder="1" applyAlignment="1">
      <alignment horizontal="center"/>
    </xf>
    <xf numFmtId="2" fontId="3" fillId="3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4" fontId="3" fillId="3" borderId="1" xfId="0" applyNumberFormat="1" applyFont="1" applyFill="1" applyBorder="1" applyAlignment="1">
      <alignment horizontal="center" vertical="center" wrapText="1"/>
    </xf>
    <xf numFmtId="14" fontId="2" fillId="2" borderId="1" xfId="9" applyNumberFormat="1" applyFont="1" applyFill="1" applyBorder="1" applyAlignment="1">
      <alignment horizontal="center" vertical="center" wrapText="1"/>
    </xf>
    <xf numFmtId="4" fontId="2" fillId="2" borderId="1" xfId="9" applyNumberFormat="1" applyFont="1" applyFill="1" applyBorder="1" applyAlignment="1">
      <alignment horizontal="center" vertical="center" wrapText="1"/>
    </xf>
    <xf numFmtId="14" fontId="3" fillId="3" borderId="1" xfId="9" applyNumberFormat="1" applyFont="1" applyFill="1" applyBorder="1" applyAlignment="1">
      <alignment horizontal="center"/>
    </xf>
    <xf numFmtId="4" fontId="3" fillId="3" borderId="1" xfId="9" applyNumberFormat="1" applyFont="1" applyFill="1" applyBorder="1" applyAlignment="1">
      <alignment horizontal="center"/>
    </xf>
    <xf numFmtId="49" fontId="3" fillId="3" borderId="1" xfId="9" applyNumberFormat="1" applyFont="1" applyFill="1" applyBorder="1" applyAlignment="1">
      <alignment horizontal="center"/>
    </xf>
    <xf numFmtId="49" fontId="2" fillId="2" borderId="1" xfId="9" applyNumberFormat="1" applyFont="1" applyFill="1" applyBorder="1" applyAlignment="1">
      <alignment horizontal="center" vertical="center" wrapText="1"/>
    </xf>
    <xf numFmtId="49" fontId="3" fillId="3" borderId="1" xfId="9" applyNumberFormat="1" applyFont="1" applyFill="1" applyBorder="1" applyAlignment="1">
      <alignment horizontal="center" vertical="center" wrapText="1"/>
    </xf>
    <xf numFmtId="4" fontId="3" fillId="3" borderId="1" xfId="9" applyNumberFormat="1" applyFont="1" applyFill="1" applyBorder="1" applyAlignment="1">
      <alignment horizontal="center" vertical="center" wrapText="1"/>
    </xf>
    <xf numFmtId="3" fontId="3" fillId="3" borderId="1" xfId="9" applyNumberFormat="1" applyFont="1" applyFill="1" applyBorder="1" applyAlignment="1">
      <alignment horizontal="center"/>
    </xf>
    <xf numFmtId="3" fontId="3" fillId="3" borderId="1" xfId="9" applyNumberFormat="1" applyFont="1" applyFill="1" applyBorder="1" applyAlignment="1">
      <alignment horizontal="center" vertical="center" wrapText="1"/>
    </xf>
    <xf numFmtId="3" fontId="2" fillId="2" borderId="1" xfId="9" applyNumberFormat="1" applyFont="1" applyFill="1" applyBorder="1" applyAlignment="1">
      <alignment horizontal="center" vertical="center" wrapText="1"/>
    </xf>
    <xf numFmtId="14" fontId="3" fillId="3" borderId="1" xfId="9" applyNumberFormat="1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3" fillId="3" borderId="1" xfId="9" applyNumberFormat="1" applyFont="1" applyFill="1" applyBorder="1" applyAlignment="1">
      <alignment horizontal="center"/>
    </xf>
    <xf numFmtId="2" fontId="3" fillId="3" borderId="1" xfId="9" applyNumberFormat="1" applyFont="1" applyFill="1" applyBorder="1" applyAlignment="1">
      <alignment horizontal="center" vertical="center" wrapText="1"/>
    </xf>
    <xf numFmtId="2" fontId="2" fillId="2" borderId="1" xfId="9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43" fontId="0" fillId="0" borderId="0" xfId="10" applyFont="1"/>
    <xf numFmtId="43" fontId="3" fillId="3" borderId="1" xfId="10" applyFont="1" applyFill="1" applyBorder="1" applyAlignment="1">
      <alignment horizontal="center"/>
    </xf>
    <xf numFmtId="43" fontId="3" fillId="3" borderId="1" xfId="10" applyFont="1" applyFill="1" applyBorder="1" applyAlignment="1">
      <alignment horizontal="center" vertical="center" wrapText="1"/>
    </xf>
    <xf numFmtId="43" fontId="2" fillId="2" borderId="1" xfId="10" applyFont="1" applyFill="1" applyBorder="1" applyAlignment="1">
      <alignment horizontal="center" vertical="center" wrapText="1"/>
    </xf>
    <xf numFmtId="49" fontId="4" fillId="0" borderId="0" xfId="0" applyNumberFormat="1" applyFont="1"/>
    <xf numFmtId="1" fontId="0" fillId="0" borderId="0" xfId="0" applyNumberFormat="1"/>
    <xf numFmtId="1" fontId="0" fillId="0" borderId="0" xfId="10" applyNumberFormat="1" applyFont="1" applyFill="1"/>
    <xf numFmtId="0" fontId="12" fillId="6" borderId="0" xfId="0" applyFont="1" applyFill="1"/>
    <xf numFmtId="0" fontId="16" fillId="7" borderId="0" xfId="0" applyFont="1" applyFill="1" applyAlignment="1">
      <alignment horizontal="right"/>
    </xf>
    <xf numFmtId="0" fontId="16" fillId="7" borderId="0" xfId="0" applyFont="1" applyFill="1"/>
    <xf numFmtId="0" fontId="16" fillId="5" borderId="0" xfId="0" applyFont="1" applyFill="1" applyAlignment="1">
      <alignment horizontal="right"/>
    </xf>
    <xf numFmtId="0" fontId="17" fillId="4" borderId="0" xfId="0" applyFont="1" applyFill="1"/>
    <xf numFmtId="0" fontId="16" fillId="0" borderId="2" xfId="0" applyFont="1" applyBorder="1"/>
    <xf numFmtId="0" fontId="16" fillId="0" borderId="0" xfId="0" applyFont="1"/>
    <xf numFmtId="166" fontId="0" fillId="0" borderId="0" xfId="0" applyNumberFormat="1"/>
    <xf numFmtId="0" fontId="12" fillId="0" borderId="0" xfId="0" applyFont="1"/>
    <xf numFmtId="14" fontId="13" fillId="0" borderId="0" xfId="0" applyNumberFormat="1" applyFont="1" applyAlignment="1">
      <alignment horizontal="right"/>
    </xf>
    <xf numFmtId="0" fontId="16" fillId="0" borderId="0" xfId="0" applyFont="1" applyAlignment="1">
      <alignment horizontal="right"/>
    </xf>
    <xf numFmtId="0" fontId="4" fillId="5" borderId="0" xfId="0" applyFont="1" applyFill="1"/>
    <xf numFmtId="0" fontId="0" fillId="5" borderId="0" xfId="0" applyFill="1"/>
    <xf numFmtId="14" fontId="0" fillId="5" borderId="0" xfId="0" applyNumberFormat="1" applyFill="1"/>
    <xf numFmtId="49" fontId="0" fillId="5" borderId="0" xfId="0" applyNumberFormat="1" applyFill="1"/>
    <xf numFmtId="1" fontId="0" fillId="5" borderId="0" xfId="0" applyNumberFormat="1" applyFill="1"/>
    <xf numFmtId="49" fontId="4" fillId="5" borderId="0" xfId="0" applyNumberFormat="1" applyFont="1" applyFill="1"/>
    <xf numFmtId="164" fontId="0" fillId="5" borderId="0" xfId="0" applyNumberFormat="1" applyFill="1"/>
  </cellXfs>
  <cellStyles count="14">
    <cellStyle name="Ezres" xfId="10" builtinId="3"/>
    <cellStyle name="Ezres 2" xfId="5" xr:uid="{00000000-0005-0000-0000-000000000000}"/>
    <cellStyle name="Normál" xfId="0" builtinId="0"/>
    <cellStyle name="Normál 2" xfId="1" xr:uid="{00000000-0005-0000-0000-000002000000}"/>
    <cellStyle name="Normál 2 2" xfId="4" xr:uid="{00000000-0005-0000-0000-000003000000}"/>
    <cellStyle name="Normál 3" xfId="2" xr:uid="{00000000-0005-0000-0000-000004000000}"/>
    <cellStyle name="Normál 3 2" xfId="9" xr:uid="{00000000-0005-0000-0000-000005000000}"/>
    <cellStyle name="Normál 4" xfId="11" xr:uid="{69B636CE-F905-4F2B-A7D2-E9C7569AF3BC}"/>
    <cellStyle name="Normál 5" xfId="12" xr:uid="{F6C16F2A-3D24-4B77-A096-06234260FF4A}"/>
    <cellStyle name="Normál 6" xfId="13" xr:uid="{FA561875-8607-423B-95CA-8FA4355F13F1}"/>
    <cellStyle name="Standaard 2" xfId="7" xr:uid="{00000000-0005-0000-0000-000006000000}"/>
    <cellStyle name="Standaard 4" xfId="8" xr:uid="{00000000-0005-0000-0000-000007000000}"/>
    <cellStyle name="Standaard 5 2" xfId="3" xr:uid="{00000000-0005-0000-0000-000008000000}"/>
    <cellStyle name="Százalék 2" xfId="6" xr:uid="{00000000-0005-0000-0000-000009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</xdr:row>
          <xdr:rowOff>76200</xdr:rowOff>
        </xdr:from>
        <xdr:to>
          <xdr:col>6</xdr:col>
          <xdr:colOff>160020</xdr:colOff>
          <xdr:row>8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10</xdr:row>
          <xdr:rowOff>91440</xdr:rowOff>
        </xdr:from>
        <xdr:to>
          <xdr:col>6</xdr:col>
          <xdr:colOff>167640</xdr:colOff>
          <xdr:row>13</xdr:row>
          <xdr:rowOff>129540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– 2022 té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Control"/>
  <dimension ref="A1:C19"/>
  <sheetViews>
    <sheetView tabSelected="1" workbookViewId="0">
      <selection activeCell="L7" sqref="L7"/>
    </sheetView>
  </sheetViews>
  <sheetFormatPr defaultRowHeight="13.2" x14ac:dyDescent="0.25"/>
  <cols>
    <col min="1" max="1" width="20.33203125" bestFit="1" customWidth="1"/>
    <col min="2" max="2" width="29.109375" bestFit="1" customWidth="1"/>
    <col min="3" max="3" width="11.6640625" bestFit="1" customWidth="1"/>
  </cols>
  <sheetData>
    <row r="1" spans="1:3" x14ac:dyDescent="0.25">
      <c r="A1" s="63"/>
      <c r="B1" s="64"/>
      <c r="C1" s="2"/>
    </row>
    <row r="2" spans="1:3" x14ac:dyDescent="0.25">
      <c r="A2" s="63"/>
      <c r="B2" s="64"/>
    </row>
    <row r="3" spans="1:3" x14ac:dyDescent="0.25">
      <c r="A3" s="63"/>
      <c r="B3" s="64"/>
    </row>
    <row r="4" spans="1:3" x14ac:dyDescent="0.25">
      <c r="A4" s="63"/>
      <c r="B4" s="64"/>
    </row>
    <row r="5" spans="1:3" x14ac:dyDescent="0.25">
      <c r="A5" s="63"/>
      <c r="B5" s="64"/>
    </row>
    <row r="6" spans="1:3" x14ac:dyDescent="0.25">
      <c r="A6" s="55" t="s">
        <v>25</v>
      </c>
      <c r="B6" s="56" t="s">
        <v>257</v>
      </c>
    </row>
    <row r="7" spans="1:3" x14ac:dyDescent="0.25">
      <c r="A7" s="55" t="s">
        <v>26</v>
      </c>
      <c r="B7" s="57">
        <v>4541</v>
      </c>
    </row>
    <row r="8" spans="1:3" x14ac:dyDescent="0.25">
      <c r="A8" s="55" t="s">
        <v>35</v>
      </c>
      <c r="B8" s="56" t="s">
        <v>292</v>
      </c>
    </row>
    <row r="9" spans="1:3" x14ac:dyDescent="0.25">
      <c r="A9" s="55" t="s">
        <v>41</v>
      </c>
      <c r="B9" s="56" t="s">
        <v>293</v>
      </c>
    </row>
    <row r="10" spans="1:3" x14ac:dyDescent="0.25">
      <c r="A10" s="55" t="s">
        <v>43</v>
      </c>
      <c r="B10" s="56" t="s">
        <v>294</v>
      </c>
    </row>
    <row r="11" spans="1:3" x14ac:dyDescent="0.25">
      <c r="A11" s="55" t="s">
        <v>44</v>
      </c>
      <c r="B11" s="57">
        <v>815114</v>
      </c>
    </row>
    <row r="12" spans="1:3" x14ac:dyDescent="0.25">
      <c r="A12" s="55" t="s">
        <v>45</v>
      </c>
      <c r="B12" s="57">
        <v>46601</v>
      </c>
    </row>
    <row r="13" spans="1:3" x14ac:dyDescent="0.25">
      <c r="A13" s="55" t="s">
        <v>47</v>
      </c>
      <c r="B13" s="57">
        <v>27</v>
      </c>
    </row>
    <row r="14" spans="1:3" x14ac:dyDescent="0.25">
      <c r="A14" s="55" t="s">
        <v>62</v>
      </c>
      <c r="B14" s="56" t="s">
        <v>267</v>
      </c>
    </row>
    <row r="15" spans="1:3" x14ac:dyDescent="0.25">
      <c r="A15" s="55" t="s">
        <v>64</v>
      </c>
      <c r="B15" s="58">
        <v>202602</v>
      </c>
    </row>
    <row r="16" spans="1:3" x14ac:dyDescent="0.25">
      <c r="A16" s="63"/>
      <c r="B16" s="64"/>
      <c r="C16" s="64"/>
    </row>
    <row r="17" spans="1:3" x14ac:dyDescent="0.25">
      <c r="A17" s="63"/>
      <c r="B17" s="64"/>
      <c r="C17" s="64"/>
    </row>
    <row r="18" spans="1:3" x14ac:dyDescent="0.25">
      <c r="A18" s="63"/>
      <c r="B18" s="61"/>
      <c r="C18" s="61"/>
    </row>
    <row r="19" spans="1:3" x14ac:dyDescent="0.25">
      <c r="A19" s="63"/>
      <c r="B19" s="65"/>
      <c r="C19" s="6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Data">
                <anchor moveWithCells="1">
                  <from>
                    <xdr:col>3</xdr:col>
                    <xdr:colOff>190500</xdr:colOff>
                    <xdr:row>5</xdr:row>
                    <xdr:rowOff>76200</xdr:rowOff>
                  </from>
                  <to>
                    <xdr:col>6</xdr:col>
                    <xdr:colOff>160020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ExportData">
                <anchor moveWithCells="1">
                  <from>
                    <xdr:col>3</xdr:col>
                    <xdr:colOff>198120</xdr:colOff>
                    <xdr:row>10</xdr:row>
                    <xdr:rowOff>91440</xdr:rowOff>
                  </from>
                  <to>
                    <xdr:col>6</xdr:col>
                    <xdr:colOff>167640</xdr:colOff>
                    <xdr:row>13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1AEF-B5EA-426C-8C75-61A6326DBDFA}">
  <sheetPr codeName="shRawData"/>
  <dimension ref="A1:J7"/>
  <sheetViews>
    <sheetView workbookViewId="0">
      <selection activeCell="E2" sqref="E2:F87"/>
    </sheetView>
  </sheetViews>
  <sheetFormatPr defaultRowHeight="13.2" x14ac:dyDescent="0.25"/>
  <cols>
    <col min="1" max="1" width="14.77734375" bestFit="1" customWidth="1"/>
    <col min="2" max="6" width="18.21875" bestFit="1" customWidth="1"/>
    <col min="7" max="7" width="12.44140625" bestFit="1" customWidth="1"/>
    <col min="8" max="8" width="5" bestFit="1" customWidth="1"/>
    <col min="9" max="9" width="11.21875" bestFit="1" customWidth="1"/>
    <col min="10" max="10" width="11.33203125" bestFit="1" customWidth="1"/>
    <col min="11" max="11" width="10.44140625" bestFit="1" customWidth="1"/>
    <col min="13" max="13" width="21.33203125" bestFit="1" customWidth="1"/>
    <col min="14" max="14" width="10.5546875" bestFit="1" customWidth="1"/>
  </cols>
  <sheetData>
    <row r="1" spans="1:10" x14ac:dyDescent="0.25">
      <c r="A1" t="s">
        <v>283</v>
      </c>
      <c r="B1" t="s">
        <v>284</v>
      </c>
      <c r="C1" t="s">
        <v>285</v>
      </c>
      <c r="D1" t="s">
        <v>286</v>
      </c>
      <c r="E1" t="s">
        <v>287</v>
      </c>
      <c r="F1" t="s">
        <v>288</v>
      </c>
      <c r="G1" t="s">
        <v>289</v>
      </c>
      <c r="H1" t="s">
        <v>290</v>
      </c>
      <c r="I1" t="s">
        <v>291</v>
      </c>
      <c r="J1" t="s">
        <v>295</v>
      </c>
    </row>
    <row r="2" spans="1:10" x14ac:dyDescent="0.25">
      <c r="A2" t="s">
        <v>305</v>
      </c>
      <c r="B2" s="62">
        <v>46054</v>
      </c>
      <c r="C2" s="62">
        <v>46069</v>
      </c>
      <c r="D2" s="62">
        <v>46054</v>
      </c>
      <c r="E2" s="62">
        <v>46054</v>
      </c>
      <c r="F2" s="62">
        <v>46081</v>
      </c>
      <c r="G2" t="s">
        <v>105</v>
      </c>
      <c r="H2">
        <v>4291</v>
      </c>
      <c r="I2">
        <v>27</v>
      </c>
      <c r="J2">
        <v>1159</v>
      </c>
    </row>
    <row r="3" spans="1:10" x14ac:dyDescent="0.25">
      <c r="A3" t="s">
        <v>305</v>
      </c>
      <c r="B3" s="62">
        <v>46054</v>
      </c>
      <c r="C3" s="62">
        <v>46069</v>
      </c>
      <c r="D3" s="62">
        <v>46054</v>
      </c>
      <c r="E3" s="62">
        <v>46054</v>
      </c>
      <c r="F3" s="62">
        <v>46081</v>
      </c>
      <c r="G3" t="s">
        <v>188</v>
      </c>
      <c r="H3">
        <v>3768</v>
      </c>
      <c r="I3">
        <v>27</v>
      </c>
      <c r="J3">
        <v>1017</v>
      </c>
    </row>
    <row r="4" spans="1:10" x14ac:dyDescent="0.25">
      <c r="A4" t="s">
        <v>305</v>
      </c>
      <c r="B4" s="62">
        <v>46054</v>
      </c>
      <c r="C4" s="62">
        <v>46069</v>
      </c>
      <c r="D4" s="62">
        <v>46054</v>
      </c>
      <c r="E4" s="62">
        <v>46054</v>
      </c>
      <c r="F4" s="62">
        <v>46081</v>
      </c>
      <c r="G4" t="s">
        <v>114</v>
      </c>
      <c r="H4">
        <v>3768</v>
      </c>
      <c r="I4">
        <v>27</v>
      </c>
      <c r="J4">
        <v>1017</v>
      </c>
    </row>
    <row r="5" spans="1:10" x14ac:dyDescent="0.25">
      <c r="A5" t="s">
        <v>305</v>
      </c>
      <c r="B5" s="62">
        <v>46054</v>
      </c>
      <c r="C5" s="62">
        <v>46069</v>
      </c>
      <c r="D5" s="62">
        <v>46054</v>
      </c>
      <c r="E5" s="62">
        <v>46054</v>
      </c>
      <c r="F5" s="62">
        <v>46081</v>
      </c>
      <c r="G5" t="s">
        <v>191</v>
      </c>
      <c r="H5">
        <v>3768</v>
      </c>
      <c r="I5">
        <v>27</v>
      </c>
      <c r="J5">
        <v>1017</v>
      </c>
    </row>
    <row r="6" spans="1:10" x14ac:dyDescent="0.25">
      <c r="A6" t="s">
        <v>305</v>
      </c>
      <c r="B6" s="62">
        <v>46054</v>
      </c>
      <c r="C6" s="62">
        <v>46069</v>
      </c>
      <c r="D6" s="62">
        <v>46054</v>
      </c>
      <c r="E6" s="62">
        <v>46054</v>
      </c>
      <c r="F6" s="62">
        <v>46081</v>
      </c>
      <c r="G6" t="s">
        <v>189</v>
      </c>
      <c r="H6">
        <v>3768</v>
      </c>
      <c r="I6">
        <v>27</v>
      </c>
      <c r="J6">
        <v>1018</v>
      </c>
    </row>
    <row r="7" spans="1:10" x14ac:dyDescent="0.25">
      <c r="A7" t="s">
        <v>305</v>
      </c>
      <c r="B7" s="62">
        <v>46054</v>
      </c>
      <c r="C7" s="62">
        <v>46069</v>
      </c>
      <c r="D7" s="62">
        <v>46054</v>
      </c>
      <c r="E7" s="62">
        <v>46054</v>
      </c>
      <c r="F7" s="62">
        <v>46081</v>
      </c>
      <c r="G7" t="s">
        <v>208</v>
      </c>
      <c r="H7">
        <v>3768</v>
      </c>
      <c r="I7">
        <v>27</v>
      </c>
      <c r="J7">
        <v>1017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ablon"/>
  <dimension ref="A1:AZ90"/>
  <sheetViews>
    <sheetView topLeftCell="W1" zoomScale="90" zoomScaleNormal="90" workbookViewId="0">
      <selection activeCell="AI1" sqref="AI1:AI1048576"/>
    </sheetView>
  </sheetViews>
  <sheetFormatPr defaultRowHeight="13.2" x14ac:dyDescent="0.25"/>
  <cols>
    <col min="1" max="1" width="11.5546875" customWidth="1"/>
    <col min="2" max="2" width="12" customWidth="1"/>
    <col min="3" max="4" width="13.6640625" style="2" customWidth="1"/>
    <col min="5" max="7" width="13.33203125" style="2" customWidth="1"/>
    <col min="8" max="8" width="13.33203125" style="8" customWidth="1"/>
    <col min="9" max="9" width="19.33203125" bestFit="1" customWidth="1"/>
    <col min="10" max="10" width="12.6640625" customWidth="1"/>
    <col min="11" max="11" width="15.44140625" bestFit="1" customWidth="1"/>
    <col min="12" max="13" width="13.33203125" customWidth="1"/>
    <col min="14" max="14" width="17.6640625" bestFit="1" customWidth="1"/>
    <col min="15" max="15" width="15.5546875" bestFit="1" customWidth="1"/>
    <col min="16" max="16" width="13.33203125" customWidth="1"/>
    <col min="17" max="17" width="26.6640625" bestFit="1" customWidth="1"/>
    <col min="18" max="18" width="13.33203125" customWidth="1"/>
    <col min="19" max="19" width="44.6640625" bestFit="1" customWidth="1"/>
    <col min="20" max="22" width="13.33203125" customWidth="1"/>
    <col min="23" max="23" width="13.33203125" style="19" customWidth="1"/>
    <col min="24" max="25" width="13.33203125" customWidth="1"/>
    <col min="26" max="26" width="12.33203125" customWidth="1"/>
    <col min="27" max="27" width="13.33203125" customWidth="1"/>
    <col min="28" max="28" width="10.6640625" customWidth="1"/>
    <col min="29" max="29" width="13.33203125" customWidth="1"/>
    <col min="30" max="30" width="11.6640625" customWidth="1"/>
    <col min="31" max="31" width="13.33203125" customWidth="1"/>
    <col min="32" max="32" width="10.6640625" customWidth="1"/>
    <col min="33" max="33" width="13.33203125" customWidth="1"/>
    <col min="34" max="34" width="15" style="53" customWidth="1"/>
    <col min="35" max="35" width="13.5546875" style="53" bestFit="1" customWidth="1"/>
    <col min="36" max="36" width="14" style="53" customWidth="1"/>
    <col min="37" max="37" width="13.6640625" style="53" customWidth="1"/>
    <col min="38" max="38" width="11.6640625" style="8" customWidth="1"/>
    <col min="39" max="39" width="13.33203125" style="5" customWidth="1"/>
    <col min="40" max="40" width="22.109375" bestFit="1" customWidth="1"/>
    <col min="41" max="43" width="13.33203125" style="8" customWidth="1"/>
    <col min="44" max="44" width="12.109375" bestFit="1" customWidth="1"/>
    <col min="45" max="45" width="16.5546875" bestFit="1" customWidth="1"/>
    <col min="46" max="47" width="13.6640625" style="2" bestFit="1" customWidth="1"/>
    <col min="48" max="48" width="10.21875" style="23" bestFit="1" customWidth="1"/>
    <col min="49" max="49" width="8.88671875" style="19"/>
    <col min="50" max="50" width="41.109375" bestFit="1" customWidth="1"/>
    <col min="52" max="52" width="10.6640625" style="2" bestFit="1" customWidth="1"/>
  </cols>
  <sheetData>
    <row r="1" spans="1:52" s="3" customFormat="1" ht="10.199999999999999" x14ac:dyDescent="0.2">
      <c r="A1" s="39" t="s">
        <v>0</v>
      </c>
      <c r="B1" s="39" t="s">
        <v>0</v>
      </c>
      <c r="C1" s="6" t="s">
        <v>1</v>
      </c>
      <c r="D1" s="6" t="s">
        <v>1</v>
      </c>
      <c r="E1" s="6" t="s">
        <v>1</v>
      </c>
      <c r="F1" s="6" t="s">
        <v>1</v>
      </c>
      <c r="G1" s="6" t="s">
        <v>1</v>
      </c>
      <c r="H1" s="9" t="s">
        <v>0</v>
      </c>
      <c r="I1" s="39" t="s">
        <v>0</v>
      </c>
      <c r="J1" s="39" t="s">
        <v>0</v>
      </c>
      <c r="K1" s="39" t="s">
        <v>0</v>
      </c>
      <c r="L1" s="39" t="s">
        <v>0</v>
      </c>
      <c r="M1" s="39" t="s">
        <v>0</v>
      </c>
      <c r="N1" s="39" t="s">
        <v>0</v>
      </c>
      <c r="O1" s="39" t="s">
        <v>0</v>
      </c>
      <c r="P1" s="39" t="s">
        <v>0</v>
      </c>
      <c r="Q1" s="39" t="s">
        <v>0</v>
      </c>
      <c r="R1" s="39" t="s">
        <v>0</v>
      </c>
      <c r="S1" s="39" t="s">
        <v>0</v>
      </c>
      <c r="T1" s="39" t="s">
        <v>0</v>
      </c>
      <c r="U1" s="39" t="s">
        <v>0</v>
      </c>
      <c r="V1" s="39" t="s">
        <v>0</v>
      </c>
      <c r="W1" s="45" t="s">
        <v>0</v>
      </c>
      <c r="X1" s="39" t="s">
        <v>0</v>
      </c>
      <c r="Y1" s="39" t="s">
        <v>2</v>
      </c>
      <c r="Z1" s="39" t="s">
        <v>0</v>
      </c>
      <c r="AA1" s="39" t="s">
        <v>0</v>
      </c>
      <c r="AB1" s="39" t="s">
        <v>0</v>
      </c>
      <c r="AC1" s="39" t="s">
        <v>0</v>
      </c>
      <c r="AD1" s="39" t="s">
        <v>0</v>
      </c>
      <c r="AE1" s="39" t="s">
        <v>0</v>
      </c>
      <c r="AF1" s="39" t="s">
        <v>0</v>
      </c>
      <c r="AG1" s="39" t="s">
        <v>0</v>
      </c>
      <c r="AH1" s="11" t="s">
        <v>2</v>
      </c>
      <c r="AI1" s="11" t="s">
        <v>2</v>
      </c>
      <c r="AJ1" s="11" t="s">
        <v>2</v>
      </c>
      <c r="AK1" s="11" t="s">
        <v>2</v>
      </c>
      <c r="AL1" s="9" t="s">
        <v>0</v>
      </c>
      <c r="AM1" s="7" t="s">
        <v>2</v>
      </c>
      <c r="AN1" s="20" t="s">
        <v>0</v>
      </c>
      <c r="AO1" s="9" t="s">
        <v>0</v>
      </c>
      <c r="AP1" s="9" t="s">
        <v>0</v>
      </c>
      <c r="AQ1" s="9" t="s">
        <v>0</v>
      </c>
      <c r="AR1" s="29" t="s">
        <v>0</v>
      </c>
      <c r="AS1" s="33" t="s">
        <v>2</v>
      </c>
      <c r="AT1" s="29" t="s">
        <v>0</v>
      </c>
      <c r="AU1" s="29" t="s">
        <v>0</v>
      </c>
      <c r="AV1" s="42" t="s">
        <v>2</v>
      </c>
      <c r="AW1" s="29" t="s">
        <v>0</v>
      </c>
      <c r="AX1" s="29" t="s">
        <v>0</v>
      </c>
      <c r="AY1" s="27" t="s">
        <v>1</v>
      </c>
      <c r="AZ1" s="37"/>
    </row>
    <row r="2" spans="1:52" s="3" customFormat="1" ht="10.199999999999999" x14ac:dyDescent="0.2">
      <c r="A2" s="39" t="s">
        <v>3</v>
      </c>
      <c r="B2" s="39" t="s">
        <v>4</v>
      </c>
      <c r="C2" s="6" t="s">
        <v>5</v>
      </c>
      <c r="D2" s="6" t="s">
        <v>5</v>
      </c>
      <c r="E2" s="6" t="s">
        <v>5</v>
      </c>
      <c r="F2" s="6" t="s">
        <v>5</v>
      </c>
      <c r="G2" s="6" t="s">
        <v>5</v>
      </c>
      <c r="H2" s="9" t="s">
        <v>6</v>
      </c>
      <c r="I2" s="39" t="s">
        <v>6</v>
      </c>
      <c r="J2" s="39" t="s">
        <v>4</v>
      </c>
      <c r="K2" s="39" t="s">
        <v>7</v>
      </c>
      <c r="L2" s="39" t="s">
        <v>4</v>
      </c>
      <c r="M2" s="39" t="s">
        <v>8</v>
      </c>
      <c r="N2" s="39" t="s">
        <v>9</v>
      </c>
      <c r="O2" s="39" t="s">
        <v>10</v>
      </c>
      <c r="P2" s="39" t="s">
        <v>11</v>
      </c>
      <c r="Q2" s="39" t="s">
        <v>12</v>
      </c>
      <c r="R2" s="39" t="s">
        <v>9</v>
      </c>
      <c r="S2" s="39" t="s">
        <v>9</v>
      </c>
      <c r="T2" s="39" t="s">
        <v>4</v>
      </c>
      <c r="U2" s="39" t="s">
        <v>4</v>
      </c>
      <c r="V2" s="39" t="s">
        <v>4</v>
      </c>
      <c r="W2" s="45" t="s">
        <v>13</v>
      </c>
      <c r="X2" s="39" t="s">
        <v>13</v>
      </c>
      <c r="Y2" s="39" t="s">
        <v>14</v>
      </c>
      <c r="Z2" s="39" t="s">
        <v>4</v>
      </c>
      <c r="AA2" s="39" t="s">
        <v>15</v>
      </c>
      <c r="AB2" s="39" t="s">
        <v>4</v>
      </c>
      <c r="AC2" s="39" t="s">
        <v>15</v>
      </c>
      <c r="AD2" s="39" t="s">
        <v>4</v>
      </c>
      <c r="AE2" s="39" t="s">
        <v>15</v>
      </c>
      <c r="AF2" s="39" t="s">
        <v>4</v>
      </c>
      <c r="AG2" s="39" t="s">
        <v>15</v>
      </c>
      <c r="AH2" s="11" t="s">
        <v>16</v>
      </c>
      <c r="AI2" s="11" t="s">
        <v>16</v>
      </c>
      <c r="AJ2" s="11" t="s">
        <v>16</v>
      </c>
      <c r="AK2" s="11" t="s">
        <v>16</v>
      </c>
      <c r="AL2" s="9" t="s">
        <v>17</v>
      </c>
      <c r="AM2" s="7" t="s">
        <v>18</v>
      </c>
      <c r="AN2" s="20" t="s">
        <v>9</v>
      </c>
      <c r="AO2" s="9" t="s">
        <v>13</v>
      </c>
      <c r="AP2" s="9" t="s">
        <v>6</v>
      </c>
      <c r="AQ2" s="9" t="s">
        <v>8</v>
      </c>
      <c r="AR2" s="29" t="s">
        <v>4</v>
      </c>
      <c r="AS2" s="33" t="s">
        <v>242</v>
      </c>
      <c r="AT2" s="29" t="s">
        <v>4</v>
      </c>
      <c r="AU2" s="29" t="s">
        <v>4</v>
      </c>
      <c r="AV2" s="42" t="s">
        <v>16</v>
      </c>
      <c r="AW2" s="29" t="s">
        <v>11</v>
      </c>
      <c r="AX2" s="29" t="s">
        <v>243</v>
      </c>
      <c r="AY2" s="27" t="s">
        <v>5</v>
      </c>
      <c r="AZ2" s="37"/>
    </row>
    <row r="3" spans="1:52" s="16" customFormat="1" ht="37.5" customHeight="1" x14ac:dyDescent="0.25">
      <c r="A3" s="40" t="s">
        <v>19</v>
      </c>
      <c r="B3" s="40" t="s">
        <v>20</v>
      </c>
      <c r="C3" s="24" t="s">
        <v>19</v>
      </c>
      <c r="D3" s="13"/>
      <c r="E3" s="24" t="s">
        <v>19</v>
      </c>
      <c r="F3" s="24" t="s">
        <v>19</v>
      </c>
      <c r="G3" s="24" t="s">
        <v>19</v>
      </c>
      <c r="H3" s="13"/>
      <c r="I3" s="40" t="s">
        <v>19</v>
      </c>
      <c r="J3" s="40"/>
      <c r="K3" s="40" t="s">
        <v>19</v>
      </c>
      <c r="L3" s="40"/>
      <c r="M3" s="40"/>
      <c r="N3" s="40"/>
      <c r="O3" s="40"/>
      <c r="P3" s="40"/>
      <c r="Q3" s="40"/>
      <c r="R3" s="40"/>
      <c r="S3" s="40"/>
      <c r="T3" s="40" t="s">
        <v>20</v>
      </c>
      <c r="U3" s="40" t="s">
        <v>20</v>
      </c>
      <c r="V3" s="40"/>
      <c r="W3" s="46" t="s">
        <v>19</v>
      </c>
      <c r="X3" s="40"/>
      <c r="Y3" s="40"/>
      <c r="Z3" s="40"/>
      <c r="AA3" s="40"/>
      <c r="AB3" s="40"/>
      <c r="AC3" s="40"/>
      <c r="AD3" s="40"/>
      <c r="AE3" s="40"/>
      <c r="AF3" s="40"/>
      <c r="AG3" s="40"/>
      <c r="AH3" s="14" t="s">
        <v>21</v>
      </c>
      <c r="AI3" s="14" t="s">
        <v>22</v>
      </c>
      <c r="AJ3" s="14" t="s">
        <v>23</v>
      </c>
      <c r="AK3" s="14" t="s">
        <v>24</v>
      </c>
      <c r="AL3" s="13" t="s">
        <v>23</v>
      </c>
      <c r="AM3" s="15"/>
      <c r="AN3" s="21"/>
      <c r="AO3" s="13"/>
      <c r="AP3" s="13"/>
      <c r="AQ3" s="13"/>
      <c r="AR3" s="31"/>
      <c r="AS3" s="34"/>
      <c r="AT3" s="31"/>
      <c r="AU3" s="31"/>
      <c r="AV3" s="43"/>
      <c r="AW3" s="31"/>
      <c r="AX3" s="31"/>
      <c r="AY3" s="36"/>
      <c r="AZ3" s="38"/>
    </row>
    <row r="4" spans="1:52" ht="33.75" customHeight="1" x14ac:dyDescent="0.25">
      <c r="A4" s="41" t="s">
        <v>25</v>
      </c>
      <c r="B4" s="41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 t="s">
        <v>31</v>
      </c>
      <c r="H4" s="10" t="s">
        <v>32</v>
      </c>
      <c r="I4" s="41" t="s">
        <v>33</v>
      </c>
      <c r="J4" s="41" t="s">
        <v>34</v>
      </c>
      <c r="K4" s="41" t="s">
        <v>35</v>
      </c>
      <c r="L4" s="41" t="s">
        <v>36</v>
      </c>
      <c r="M4" s="41" t="s">
        <v>37</v>
      </c>
      <c r="N4" s="41" t="s">
        <v>38</v>
      </c>
      <c r="O4" s="41" t="s">
        <v>39</v>
      </c>
      <c r="P4" s="41" t="s">
        <v>40</v>
      </c>
      <c r="Q4" s="41" t="s">
        <v>41</v>
      </c>
      <c r="R4" s="41" t="s">
        <v>42</v>
      </c>
      <c r="S4" s="41" t="s">
        <v>43</v>
      </c>
      <c r="T4" s="41" t="s">
        <v>44</v>
      </c>
      <c r="U4" s="41" t="s">
        <v>45</v>
      </c>
      <c r="V4" s="41" t="s">
        <v>46</v>
      </c>
      <c r="W4" s="47" t="s">
        <v>47</v>
      </c>
      <c r="X4" s="41" t="s">
        <v>48</v>
      </c>
      <c r="Y4" s="41" t="s">
        <v>49</v>
      </c>
      <c r="Z4" s="41" t="s">
        <v>50</v>
      </c>
      <c r="AA4" s="41" t="s">
        <v>51</v>
      </c>
      <c r="AB4" s="41" t="s">
        <v>52</v>
      </c>
      <c r="AC4" s="41" t="s">
        <v>53</v>
      </c>
      <c r="AD4" s="41" t="s">
        <v>54</v>
      </c>
      <c r="AE4" s="41" t="s">
        <v>55</v>
      </c>
      <c r="AF4" s="41" t="s">
        <v>56</v>
      </c>
      <c r="AG4" s="41" t="s">
        <v>57</v>
      </c>
      <c r="AH4" s="12" t="s">
        <v>58</v>
      </c>
      <c r="AI4" s="12" t="s">
        <v>59</v>
      </c>
      <c r="AJ4" s="12" t="s">
        <v>60</v>
      </c>
      <c r="AK4" s="12" t="s">
        <v>61</v>
      </c>
      <c r="AL4" s="10" t="s">
        <v>62</v>
      </c>
      <c r="AM4" s="4" t="s">
        <v>63</v>
      </c>
      <c r="AN4" s="22" t="s">
        <v>64</v>
      </c>
      <c r="AO4" s="10" t="s">
        <v>65</v>
      </c>
      <c r="AP4" s="10" t="s">
        <v>66</v>
      </c>
      <c r="AQ4" s="10" t="s">
        <v>67</v>
      </c>
      <c r="AR4" s="30" t="s">
        <v>244</v>
      </c>
      <c r="AS4" s="35" t="s">
        <v>245</v>
      </c>
      <c r="AT4" s="30" t="s">
        <v>246</v>
      </c>
      <c r="AU4" s="30" t="s">
        <v>247</v>
      </c>
      <c r="AV4" s="44" t="s">
        <v>248</v>
      </c>
      <c r="AW4" s="30" t="s">
        <v>249</v>
      </c>
      <c r="AX4" s="30" t="s">
        <v>250</v>
      </c>
      <c r="AY4" s="25" t="s">
        <v>251</v>
      </c>
    </row>
    <row r="5" spans="1:52" x14ac:dyDescent="0.25">
      <c r="A5" s="18" t="s">
        <v>257</v>
      </c>
      <c r="B5">
        <v>4541</v>
      </c>
      <c r="C5" s="2">
        <v>46054</v>
      </c>
      <c r="E5" s="2">
        <v>46054</v>
      </c>
      <c r="F5" s="2">
        <v>46054</v>
      </c>
      <c r="G5" s="2">
        <v>46069</v>
      </c>
      <c r="I5" t="s">
        <v>305</v>
      </c>
      <c r="K5" t="s">
        <v>292</v>
      </c>
      <c r="Q5" t="s">
        <v>293</v>
      </c>
      <c r="S5" s="18" t="s">
        <v>294</v>
      </c>
      <c r="T5">
        <v>815114</v>
      </c>
      <c r="U5">
        <v>46601</v>
      </c>
      <c r="W5">
        <v>27</v>
      </c>
      <c r="Z5">
        <f>VLOOKUP(AD5,mapping!B:G,5,0)</f>
        <v>430440</v>
      </c>
      <c r="AB5" t="str">
        <f>VLOOKUP(AD5,mapping!B:G,6,0)</f>
        <v>SECDIR</v>
      </c>
      <c r="AD5" t="s">
        <v>105</v>
      </c>
      <c r="AH5">
        <v>-4291</v>
      </c>
      <c r="AI5" s="53">
        <v>-1159</v>
      </c>
      <c r="AK5" s="53" t="s">
        <v>267</v>
      </c>
      <c r="AL5" s="52"/>
      <c r="AN5">
        <v>202602</v>
      </c>
      <c r="AR5" s="23"/>
      <c r="AV5"/>
      <c r="AW5"/>
      <c r="AX5" s="18"/>
    </row>
    <row r="6" spans="1:52" x14ac:dyDescent="0.25">
      <c r="A6" s="18" t="s">
        <v>257</v>
      </c>
      <c r="B6">
        <v>4541</v>
      </c>
      <c r="C6" s="2">
        <v>46054</v>
      </c>
      <c r="E6" s="2">
        <v>46054</v>
      </c>
      <c r="F6" s="2">
        <v>46054</v>
      </c>
      <c r="G6" s="2">
        <v>46069</v>
      </c>
      <c r="I6" t="s">
        <v>305</v>
      </c>
      <c r="K6" t="s">
        <v>292</v>
      </c>
      <c r="Q6" t="s">
        <v>293</v>
      </c>
      <c r="S6" s="18" t="s">
        <v>294</v>
      </c>
      <c r="T6">
        <v>815114</v>
      </c>
      <c r="U6">
        <v>46601</v>
      </c>
      <c r="W6">
        <v>27</v>
      </c>
      <c r="Z6">
        <f>VLOOKUP(AD6,mapping!B:G,5,0)</f>
        <v>430430</v>
      </c>
      <c r="AB6" t="str">
        <f>VLOOKUP(AD6,mapping!B:G,6,0)</f>
        <v>SECDIR</v>
      </c>
      <c r="AD6" t="s">
        <v>188</v>
      </c>
      <c r="AH6">
        <v>-3768</v>
      </c>
      <c r="AI6" s="53">
        <v>-1017</v>
      </c>
      <c r="AK6" s="53" t="s">
        <v>267</v>
      </c>
      <c r="AL6" s="52"/>
      <c r="AN6">
        <v>202602</v>
      </c>
      <c r="AR6" s="23"/>
      <c r="AV6"/>
      <c r="AW6"/>
      <c r="AX6" s="18"/>
    </row>
    <row r="7" spans="1:52" x14ac:dyDescent="0.25">
      <c r="A7" s="18" t="s">
        <v>257</v>
      </c>
      <c r="B7">
        <v>4541</v>
      </c>
      <c r="C7" s="2">
        <v>46054</v>
      </c>
      <c r="E7" s="2">
        <v>46054</v>
      </c>
      <c r="F7" s="2">
        <v>46054</v>
      </c>
      <c r="G7" s="2">
        <v>46069</v>
      </c>
      <c r="I7" t="s">
        <v>305</v>
      </c>
      <c r="K7" t="s">
        <v>292</v>
      </c>
      <c r="Q7" t="s">
        <v>293</v>
      </c>
      <c r="S7" s="18" t="s">
        <v>294</v>
      </c>
      <c r="T7">
        <v>815114</v>
      </c>
      <c r="U7">
        <v>46601</v>
      </c>
      <c r="W7">
        <v>27</v>
      </c>
      <c r="Z7">
        <f>VLOOKUP(AD7,mapping!B:G,5,0)</f>
        <v>430440</v>
      </c>
      <c r="AB7" t="str">
        <f>VLOOKUP(AD7,mapping!B:G,6,0)</f>
        <v>SECDIR</v>
      </c>
      <c r="AD7" t="s">
        <v>114</v>
      </c>
      <c r="AH7">
        <v>-3768</v>
      </c>
      <c r="AI7" s="53">
        <v>-1017</v>
      </c>
      <c r="AK7" s="53" t="s">
        <v>267</v>
      </c>
      <c r="AL7" s="52"/>
      <c r="AN7">
        <v>202602</v>
      </c>
      <c r="AR7" s="23"/>
      <c r="AV7"/>
      <c r="AW7"/>
      <c r="AX7" s="18"/>
    </row>
    <row r="8" spans="1:52" x14ac:dyDescent="0.25">
      <c r="A8" s="18" t="s">
        <v>257</v>
      </c>
      <c r="B8">
        <v>4541</v>
      </c>
      <c r="C8" s="2">
        <v>46054</v>
      </c>
      <c r="E8" s="2">
        <v>46054</v>
      </c>
      <c r="F8" s="2">
        <v>46054</v>
      </c>
      <c r="G8" s="2">
        <v>46069</v>
      </c>
      <c r="I8" t="s">
        <v>305</v>
      </c>
      <c r="K8" t="s">
        <v>292</v>
      </c>
      <c r="Q8" t="s">
        <v>293</v>
      </c>
      <c r="S8" s="18" t="s">
        <v>294</v>
      </c>
      <c r="T8">
        <v>815114</v>
      </c>
      <c r="U8">
        <v>46601</v>
      </c>
      <c r="W8">
        <v>27</v>
      </c>
      <c r="Z8">
        <f>VLOOKUP(AD8,mapping!B:G,5,0)</f>
        <v>430440</v>
      </c>
      <c r="AB8" t="str">
        <f>VLOOKUP(AD8,mapping!B:G,6,0)</f>
        <v>SECDIR</v>
      </c>
      <c r="AD8" t="s">
        <v>191</v>
      </c>
      <c r="AH8">
        <v>-3768</v>
      </c>
      <c r="AI8" s="53">
        <v>-1017</v>
      </c>
      <c r="AK8" s="53" t="s">
        <v>267</v>
      </c>
      <c r="AL8" s="52"/>
      <c r="AN8">
        <v>202602</v>
      </c>
      <c r="AR8" s="23"/>
      <c r="AV8"/>
      <c r="AW8"/>
      <c r="AX8" s="18"/>
    </row>
    <row r="9" spans="1:52" x14ac:dyDescent="0.25">
      <c r="A9" s="18" t="s">
        <v>257</v>
      </c>
      <c r="B9">
        <v>4541</v>
      </c>
      <c r="C9" s="2">
        <v>46054</v>
      </c>
      <c r="E9" s="2">
        <v>46054</v>
      </c>
      <c r="F9" s="2">
        <v>46054</v>
      </c>
      <c r="G9" s="2">
        <v>46069</v>
      </c>
      <c r="I9" t="s">
        <v>305</v>
      </c>
      <c r="K9" t="s">
        <v>292</v>
      </c>
      <c r="Q9" t="s">
        <v>293</v>
      </c>
      <c r="S9" s="18" t="s">
        <v>294</v>
      </c>
      <c r="T9">
        <v>815114</v>
      </c>
      <c r="U9">
        <v>46601</v>
      </c>
      <c r="W9">
        <v>27</v>
      </c>
      <c r="Z9">
        <f>VLOOKUP(AD9,mapping!B:G,5,0)</f>
        <v>430430</v>
      </c>
      <c r="AB9" t="str">
        <f>VLOOKUP(AD9,mapping!B:G,6,0)</f>
        <v>SECDIR</v>
      </c>
      <c r="AD9" t="s">
        <v>189</v>
      </c>
      <c r="AH9">
        <v>-3768</v>
      </c>
      <c r="AI9" s="53">
        <v>-1018</v>
      </c>
      <c r="AK9" s="53" t="s">
        <v>267</v>
      </c>
      <c r="AL9" s="52"/>
      <c r="AN9">
        <v>202602</v>
      </c>
      <c r="AR9" s="23"/>
      <c r="AV9"/>
      <c r="AW9"/>
      <c r="AX9" s="18"/>
    </row>
    <row r="10" spans="1:52" x14ac:dyDescent="0.25">
      <c r="A10" s="18" t="s">
        <v>257</v>
      </c>
      <c r="B10">
        <v>4541</v>
      </c>
      <c r="C10" s="2">
        <v>46054</v>
      </c>
      <c r="E10" s="2">
        <v>46054</v>
      </c>
      <c r="F10" s="2">
        <v>46054</v>
      </c>
      <c r="G10" s="2">
        <v>46069</v>
      </c>
      <c r="I10" t="s">
        <v>305</v>
      </c>
      <c r="K10" t="s">
        <v>292</v>
      </c>
      <c r="Q10" t="s">
        <v>293</v>
      </c>
      <c r="S10" s="18" t="s">
        <v>294</v>
      </c>
      <c r="T10">
        <v>815114</v>
      </c>
      <c r="U10">
        <v>46601</v>
      </c>
      <c r="W10">
        <v>27</v>
      </c>
      <c r="Z10">
        <f>VLOOKUP(AD10,mapping!B:G,5,0)</f>
        <v>430440</v>
      </c>
      <c r="AB10" t="str">
        <f>VLOOKUP(AD10,mapping!B:G,6,0)</f>
        <v>SECDIR</v>
      </c>
      <c r="AD10" t="s">
        <v>208</v>
      </c>
      <c r="AH10">
        <v>-3768</v>
      </c>
      <c r="AI10" s="53">
        <v>-1017</v>
      </c>
      <c r="AK10" s="53" t="s">
        <v>267</v>
      </c>
      <c r="AL10" s="52"/>
      <c r="AN10">
        <v>202602</v>
      </c>
      <c r="AR10" s="23"/>
      <c r="AV10"/>
      <c r="AW10"/>
      <c r="AX10" s="18"/>
    </row>
    <row r="11" spans="1:52" x14ac:dyDescent="0.25">
      <c r="A11" s="18"/>
      <c r="S11" s="18"/>
      <c r="W11"/>
      <c r="AH11"/>
      <c r="AL11" s="52"/>
      <c r="AR11" s="23"/>
      <c r="AV11"/>
      <c r="AW11"/>
      <c r="AX11" s="18"/>
    </row>
    <row r="12" spans="1:52" x14ac:dyDescent="0.25">
      <c r="A12" s="18"/>
      <c r="S12" s="18"/>
      <c r="W12"/>
      <c r="AH12"/>
      <c r="AL12" s="52"/>
      <c r="AR12" s="23"/>
      <c r="AV12"/>
      <c r="AW12"/>
      <c r="AX12" s="18"/>
    </row>
    <row r="13" spans="1:52" x14ac:dyDescent="0.25">
      <c r="A13" s="18"/>
      <c r="S13" s="18"/>
      <c r="W13"/>
      <c r="AH13"/>
      <c r="AL13" s="52"/>
      <c r="AR13" s="23"/>
      <c r="AV13"/>
      <c r="AW13"/>
      <c r="AX13" s="18"/>
    </row>
    <row r="14" spans="1:52" x14ac:dyDescent="0.25">
      <c r="A14" s="18"/>
      <c r="S14" s="18"/>
      <c r="W14"/>
      <c r="AH14"/>
      <c r="AL14" s="52"/>
      <c r="AR14" s="23"/>
      <c r="AV14"/>
      <c r="AW14"/>
      <c r="AX14" s="18"/>
    </row>
    <row r="15" spans="1:52" x14ac:dyDescent="0.25">
      <c r="A15" s="18"/>
      <c r="S15" s="18"/>
      <c r="W15"/>
      <c r="AH15"/>
      <c r="AL15" s="52"/>
      <c r="AR15" s="23"/>
      <c r="AV15"/>
      <c r="AW15"/>
      <c r="AX15" s="18"/>
    </row>
    <row r="16" spans="1:52" x14ac:dyDescent="0.25">
      <c r="A16" s="18"/>
      <c r="S16" s="18"/>
      <c r="W16"/>
      <c r="AH16"/>
      <c r="AL16" s="52"/>
      <c r="AR16" s="23"/>
      <c r="AV16"/>
      <c r="AW16"/>
      <c r="AX16" s="18"/>
    </row>
    <row r="17" spans="1:50" x14ac:dyDescent="0.25">
      <c r="A17" s="18"/>
      <c r="S17" s="18"/>
      <c r="W17"/>
      <c r="AH17"/>
      <c r="AL17" s="52"/>
      <c r="AR17" s="23"/>
      <c r="AV17"/>
      <c r="AW17"/>
      <c r="AX17" s="18"/>
    </row>
    <row r="18" spans="1:50" x14ac:dyDescent="0.25">
      <c r="A18" s="18"/>
      <c r="S18" s="18"/>
      <c r="W18"/>
      <c r="AH18"/>
      <c r="AL18" s="52"/>
      <c r="AR18" s="23"/>
      <c r="AV18"/>
      <c r="AW18"/>
      <c r="AX18" s="18"/>
    </row>
    <row r="19" spans="1:50" x14ac:dyDescent="0.25">
      <c r="A19" s="18"/>
      <c r="S19" s="18"/>
      <c r="W19"/>
      <c r="AH19"/>
      <c r="AL19" s="52"/>
      <c r="AR19" s="23"/>
      <c r="AV19"/>
      <c r="AW19"/>
      <c r="AX19" s="18"/>
    </row>
    <row r="20" spans="1:50" x14ac:dyDescent="0.25">
      <c r="A20" s="18"/>
      <c r="S20" s="18"/>
      <c r="W20"/>
      <c r="AH20"/>
      <c r="AL20" s="52"/>
      <c r="AR20" s="23"/>
      <c r="AV20"/>
      <c r="AW20"/>
      <c r="AX20" s="18"/>
    </row>
    <row r="21" spans="1:50" x14ac:dyDescent="0.25">
      <c r="A21" s="18"/>
      <c r="S21" s="18"/>
      <c r="W21"/>
      <c r="AH21"/>
      <c r="AL21" s="52"/>
      <c r="AR21" s="23"/>
      <c r="AV21"/>
      <c r="AW21"/>
      <c r="AX21" s="18"/>
    </row>
    <row r="22" spans="1:50" x14ac:dyDescent="0.25">
      <c r="A22" s="18"/>
      <c r="S22" s="18"/>
      <c r="W22"/>
      <c r="AH22"/>
      <c r="AL22" s="52"/>
      <c r="AR22" s="23"/>
      <c r="AV22"/>
      <c r="AW22"/>
      <c r="AX22" s="18"/>
    </row>
    <row r="23" spans="1:50" x14ac:dyDescent="0.25">
      <c r="A23" s="18"/>
      <c r="S23" s="18"/>
      <c r="W23"/>
      <c r="AH23"/>
      <c r="AL23" s="52"/>
      <c r="AR23" s="23"/>
      <c r="AV23"/>
      <c r="AW23"/>
      <c r="AX23" s="18"/>
    </row>
    <row r="24" spans="1:50" x14ac:dyDescent="0.25">
      <c r="A24" s="18"/>
      <c r="S24" s="18"/>
      <c r="W24"/>
      <c r="AH24" s="54"/>
      <c r="AL24" s="52"/>
      <c r="AR24" s="23"/>
      <c r="AV24"/>
      <c r="AW24"/>
      <c r="AX24" s="18"/>
    </row>
    <row r="25" spans="1:50" x14ac:dyDescent="0.25">
      <c r="A25" s="18"/>
      <c r="S25" s="18"/>
      <c r="W25"/>
      <c r="AH25" s="54"/>
      <c r="AL25" s="52"/>
      <c r="AR25" s="23"/>
      <c r="AV25"/>
      <c r="AW25"/>
      <c r="AX25" s="18"/>
    </row>
    <row r="26" spans="1:50" x14ac:dyDescent="0.25">
      <c r="A26" s="18"/>
      <c r="S26" s="18"/>
      <c r="W26"/>
      <c r="AH26" s="54"/>
      <c r="AL26" s="52"/>
      <c r="AR26" s="23"/>
      <c r="AV26"/>
      <c r="AW26"/>
      <c r="AX26" s="18"/>
    </row>
    <row r="27" spans="1:50" x14ac:dyDescent="0.25">
      <c r="A27" s="18"/>
      <c r="S27" s="18"/>
      <c r="W27"/>
      <c r="AH27" s="54"/>
      <c r="AL27" s="52"/>
      <c r="AR27" s="23"/>
      <c r="AV27"/>
      <c r="AW27"/>
      <c r="AX27" s="18"/>
    </row>
    <row r="28" spans="1:50" x14ac:dyDescent="0.25">
      <c r="A28" s="18"/>
      <c r="S28" s="18"/>
      <c r="W28"/>
      <c r="AH28" s="54"/>
      <c r="AL28" s="52"/>
      <c r="AR28" s="23"/>
      <c r="AV28"/>
      <c r="AW28"/>
      <c r="AX28" s="18"/>
    </row>
    <row r="29" spans="1:50" x14ac:dyDescent="0.25">
      <c r="A29" s="18"/>
      <c r="S29" s="18"/>
      <c r="W29"/>
      <c r="AH29" s="54"/>
      <c r="AL29" s="52"/>
      <c r="AR29" s="23"/>
      <c r="AV29"/>
      <c r="AW29"/>
      <c r="AX29" s="18"/>
    </row>
    <row r="30" spans="1:50" x14ac:dyDescent="0.25">
      <c r="A30" s="18"/>
      <c r="S30" s="18"/>
      <c r="W30"/>
      <c r="AH30" s="54"/>
      <c r="AL30" s="52"/>
      <c r="AR30" s="23"/>
      <c r="AV30"/>
      <c r="AW30"/>
      <c r="AX30" s="18"/>
    </row>
    <row r="31" spans="1:50" x14ac:dyDescent="0.25">
      <c r="A31" s="18"/>
      <c r="S31" s="18"/>
      <c r="W31"/>
      <c r="AH31" s="54"/>
      <c r="AL31" s="52"/>
      <c r="AR31" s="23"/>
      <c r="AV31"/>
      <c r="AW31"/>
      <c r="AX31" s="18"/>
    </row>
    <row r="32" spans="1:50" x14ac:dyDescent="0.25">
      <c r="A32" s="18"/>
      <c r="S32" s="18"/>
      <c r="W32"/>
      <c r="AH32" s="54"/>
      <c r="AL32" s="52"/>
      <c r="AR32" s="23"/>
      <c r="AV32"/>
      <c r="AW32"/>
      <c r="AX32" s="18"/>
    </row>
    <row r="33" spans="1:50" x14ac:dyDescent="0.25">
      <c r="A33" s="18"/>
      <c r="S33" s="18"/>
      <c r="W33"/>
      <c r="AH33" s="54"/>
      <c r="AL33" s="52"/>
      <c r="AR33" s="23"/>
      <c r="AV33" s="53"/>
      <c r="AW33"/>
      <c r="AX33" s="18"/>
    </row>
    <row r="34" spans="1:50" x14ac:dyDescent="0.25">
      <c r="A34" s="18"/>
      <c r="S34" s="18"/>
      <c r="W34"/>
      <c r="AH34" s="54"/>
      <c r="AL34" s="52"/>
      <c r="AR34" s="23"/>
      <c r="AV34" s="53"/>
      <c r="AW34"/>
      <c r="AX34" s="18"/>
    </row>
    <row r="35" spans="1:50" x14ac:dyDescent="0.25">
      <c r="A35" s="18"/>
      <c r="S35" s="18"/>
      <c r="W35"/>
      <c r="AH35" s="54"/>
      <c r="AL35" s="52"/>
      <c r="AR35" s="23"/>
      <c r="AV35" s="53"/>
      <c r="AW35"/>
      <c r="AX35" s="18"/>
    </row>
    <row r="36" spans="1:50" x14ac:dyDescent="0.25">
      <c r="A36" s="18"/>
      <c r="S36" s="18"/>
      <c r="W36"/>
      <c r="AL36" s="52"/>
      <c r="AV36"/>
      <c r="AW36"/>
      <c r="AX36" s="18"/>
    </row>
    <row r="37" spans="1:50" x14ac:dyDescent="0.25">
      <c r="A37" s="18"/>
      <c r="S37" s="18"/>
      <c r="W37"/>
      <c r="AH37" s="54"/>
      <c r="AL37" s="52"/>
      <c r="AV37"/>
      <c r="AW37"/>
      <c r="AX37" s="18"/>
    </row>
    <row r="38" spans="1:50" x14ac:dyDescent="0.25">
      <c r="A38" s="18"/>
      <c r="S38" s="18"/>
      <c r="W38"/>
      <c r="AH38" s="54"/>
      <c r="AL38" s="52"/>
      <c r="AV38"/>
      <c r="AW38"/>
      <c r="AX38" s="18"/>
    </row>
    <row r="39" spans="1:50" x14ac:dyDescent="0.25">
      <c r="A39" s="18"/>
      <c r="S39" s="18"/>
      <c r="W39"/>
      <c r="AH39" s="54"/>
      <c r="AL39" s="52"/>
      <c r="AV39"/>
      <c r="AW39"/>
      <c r="AX39" s="18"/>
    </row>
    <row r="40" spans="1:50" x14ac:dyDescent="0.25">
      <c r="A40" s="18"/>
      <c r="S40" s="18"/>
      <c r="W40"/>
      <c r="AL40" s="52"/>
      <c r="AV40"/>
      <c r="AW40"/>
      <c r="AX40" s="18"/>
    </row>
    <row r="41" spans="1:50" x14ac:dyDescent="0.25">
      <c r="A41" s="18"/>
      <c r="S41" s="18"/>
      <c r="W41"/>
      <c r="AL41" s="52"/>
      <c r="AV41"/>
      <c r="AW41"/>
      <c r="AX41" s="18"/>
    </row>
    <row r="42" spans="1:50" x14ac:dyDescent="0.25">
      <c r="A42" s="18"/>
      <c r="S42" s="18"/>
      <c r="W42"/>
      <c r="AL42" s="52"/>
      <c r="AV42"/>
      <c r="AW42"/>
      <c r="AX42" s="18"/>
    </row>
    <row r="43" spans="1:50" x14ac:dyDescent="0.25">
      <c r="A43" s="18"/>
      <c r="S43" s="18"/>
      <c r="W43"/>
      <c r="AL43" s="52"/>
      <c r="AV43"/>
      <c r="AW43"/>
      <c r="AX43" s="18"/>
    </row>
    <row r="44" spans="1:50" x14ac:dyDescent="0.25">
      <c r="A44" s="18"/>
      <c r="S44" s="18"/>
      <c r="W44"/>
      <c r="AL44" s="52"/>
      <c r="AV44"/>
      <c r="AW44"/>
      <c r="AX44" s="18"/>
    </row>
    <row r="45" spans="1:50" x14ac:dyDescent="0.25">
      <c r="A45" s="18"/>
      <c r="S45" s="18"/>
      <c r="W45"/>
      <c r="AH45" s="54"/>
      <c r="AL45" s="52"/>
      <c r="AV45"/>
      <c r="AW45"/>
      <c r="AX45" s="18"/>
    </row>
    <row r="46" spans="1:50" x14ac:dyDescent="0.25">
      <c r="A46" s="18"/>
      <c r="S46" s="18"/>
      <c r="W46"/>
      <c r="AL46" s="52"/>
      <c r="AV46"/>
      <c r="AW46"/>
      <c r="AX46" s="18"/>
    </row>
    <row r="47" spans="1:50" x14ac:dyDescent="0.25">
      <c r="A47" s="18"/>
      <c r="S47" s="18"/>
      <c r="W47"/>
      <c r="AL47" s="52"/>
      <c r="AV47"/>
      <c r="AW47"/>
      <c r="AX47" s="18"/>
    </row>
    <row r="48" spans="1:50" x14ac:dyDescent="0.25">
      <c r="A48" s="18"/>
      <c r="S48" s="18"/>
      <c r="W48"/>
      <c r="AL48" s="52"/>
      <c r="AV48"/>
      <c r="AW48"/>
      <c r="AX48" s="18"/>
    </row>
    <row r="49" spans="1:50" x14ac:dyDescent="0.25">
      <c r="A49" s="18"/>
      <c r="S49" s="18"/>
      <c r="W49"/>
      <c r="AL49" s="52"/>
      <c r="AV49"/>
      <c r="AW49"/>
      <c r="AX49" s="18"/>
    </row>
    <row r="50" spans="1:50" x14ac:dyDescent="0.25">
      <c r="A50" s="18"/>
      <c r="S50" s="18"/>
      <c r="W50"/>
      <c r="AL50" s="52"/>
      <c r="AV50"/>
      <c r="AW50"/>
      <c r="AX50" s="18"/>
    </row>
    <row r="51" spans="1:50" x14ac:dyDescent="0.25">
      <c r="A51" s="18"/>
      <c r="S51" s="18"/>
      <c r="W51"/>
      <c r="AL51" s="52"/>
      <c r="AV51"/>
      <c r="AW51"/>
      <c r="AX51" s="18"/>
    </row>
    <row r="52" spans="1:50" x14ac:dyDescent="0.25">
      <c r="A52" s="18"/>
      <c r="S52" s="18"/>
      <c r="W52"/>
      <c r="AL52" s="52"/>
      <c r="AV52"/>
      <c r="AW52"/>
      <c r="AX52" s="18"/>
    </row>
    <row r="53" spans="1:50" x14ac:dyDescent="0.25">
      <c r="A53" s="18"/>
      <c r="S53" s="18"/>
      <c r="W53"/>
      <c r="AL53" s="52"/>
      <c r="AV53"/>
      <c r="AW53"/>
      <c r="AX53" s="18"/>
    </row>
    <row r="54" spans="1:50" x14ac:dyDescent="0.25">
      <c r="A54" s="18"/>
      <c r="S54" s="18"/>
      <c r="W54"/>
      <c r="AL54" s="52"/>
      <c r="AV54"/>
      <c r="AW54"/>
      <c r="AX54" s="18"/>
    </row>
    <row r="55" spans="1:50" x14ac:dyDescent="0.25">
      <c r="A55" s="18"/>
      <c r="S55" s="18"/>
      <c r="W55"/>
      <c r="AL55" s="52"/>
      <c r="AV55"/>
      <c r="AW55"/>
      <c r="AX55" s="18"/>
    </row>
    <row r="56" spans="1:50" x14ac:dyDescent="0.25">
      <c r="A56" s="18"/>
      <c r="S56" s="18"/>
      <c r="W56"/>
      <c r="AL56" s="52"/>
      <c r="AV56"/>
      <c r="AW56"/>
      <c r="AX56" s="18"/>
    </row>
    <row r="57" spans="1:50" x14ac:dyDescent="0.25">
      <c r="A57" s="18"/>
      <c r="S57" s="18"/>
      <c r="W57"/>
      <c r="AL57" s="52"/>
      <c r="AV57"/>
      <c r="AW57"/>
      <c r="AX57" s="18"/>
    </row>
    <row r="58" spans="1:50" x14ac:dyDescent="0.25">
      <c r="A58" s="18"/>
      <c r="S58" s="18"/>
      <c r="W58"/>
      <c r="AL58" s="52"/>
      <c r="AV58"/>
      <c r="AW58"/>
      <c r="AX58" s="18"/>
    </row>
    <row r="59" spans="1:50" x14ac:dyDescent="0.25">
      <c r="W59"/>
    </row>
    <row r="60" spans="1:50" x14ac:dyDescent="0.25">
      <c r="W60"/>
    </row>
    <row r="61" spans="1:50" x14ac:dyDescent="0.25">
      <c r="W61"/>
    </row>
    <row r="62" spans="1:50" x14ac:dyDescent="0.25">
      <c r="W62"/>
    </row>
    <row r="63" spans="1:50" x14ac:dyDescent="0.25">
      <c r="W63"/>
    </row>
    <row r="64" spans="1:50" x14ac:dyDescent="0.25">
      <c r="W64"/>
    </row>
    <row r="65" spans="23:23" x14ac:dyDescent="0.25">
      <c r="W65"/>
    </row>
    <row r="66" spans="23:23" x14ac:dyDescent="0.25">
      <c r="W66"/>
    </row>
    <row r="67" spans="23:23" x14ac:dyDescent="0.25">
      <c r="W67"/>
    </row>
    <row r="68" spans="23:23" x14ac:dyDescent="0.25">
      <c r="W68"/>
    </row>
    <row r="69" spans="23:23" x14ac:dyDescent="0.25">
      <c r="W69"/>
    </row>
    <row r="70" spans="23:23" x14ac:dyDescent="0.25">
      <c r="W70"/>
    </row>
    <row r="71" spans="23:23" x14ac:dyDescent="0.25">
      <c r="W71"/>
    </row>
    <row r="72" spans="23:23" x14ac:dyDescent="0.25">
      <c r="W72"/>
    </row>
    <row r="73" spans="23:23" x14ac:dyDescent="0.25">
      <c r="W73"/>
    </row>
    <row r="74" spans="23:23" x14ac:dyDescent="0.25">
      <c r="W74"/>
    </row>
    <row r="75" spans="23:23" x14ac:dyDescent="0.25">
      <c r="W75"/>
    </row>
    <row r="76" spans="23:23" x14ac:dyDescent="0.25">
      <c r="W76"/>
    </row>
    <row r="77" spans="23:23" x14ac:dyDescent="0.25">
      <c r="W77"/>
    </row>
    <row r="78" spans="23:23" x14ac:dyDescent="0.25">
      <c r="W78"/>
    </row>
    <row r="79" spans="23:23" x14ac:dyDescent="0.25">
      <c r="W79"/>
    </row>
    <row r="80" spans="23:23" x14ac:dyDescent="0.25">
      <c r="W80"/>
    </row>
    <row r="81" spans="23:50" x14ac:dyDescent="0.25">
      <c r="W81"/>
    </row>
    <row r="82" spans="23:50" x14ac:dyDescent="0.25">
      <c r="W82"/>
      <c r="AV82"/>
      <c r="AW82"/>
      <c r="AX82" s="18"/>
    </row>
    <row r="83" spans="23:50" x14ac:dyDescent="0.25">
      <c r="W83"/>
      <c r="AV83"/>
      <c r="AW83"/>
      <c r="AX83" s="18"/>
    </row>
    <row r="84" spans="23:50" x14ac:dyDescent="0.25">
      <c r="W84"/>
    </row>
    <row r="85" spans="23:50" x14ac:dyDescent="0.25">
      <c r="W85"/>
    </row>
    <row r="86" spans="23:50" x14ac:dyDescent="0.25">
      <c r="W86"/>
    </row>
    <row r="87" spans="23:50" x14ac:dyDescent="0.25">
      <c r="W87"/>
    </row>
    <row r="88" spans="23:50" x14ac:dyDescent="0.25">
      <c r="W88"/>
    </row>
    <row r="89" spans="23:50" x14ac:dyDescent="0.25">
      <c r="W89"/>
    </row>
    <row r="90" spans="23:50" x14ac:dyDescent="0.25">
      <c r="W90"/>
    </row>
  </sheetData>
  <phoneticPr fontId="1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/>
  <dimension ref="A1:AN206"/>
  <sheetViews>
    <sheetView zoomScaleNormal="100" workbookViewId="0">
      <selection activeCell="B178" sqref="B1:B1048576"/>
    </sheetView>
  </sheetViews>
  <sheetFormatPr defaultRowHeight="13.2" x14ac:dyDescent="0.25"/>
  <cols>
    <col min="1" max="1" width="21.88671875" style="61" bestFit="1" customWidth="1"/>
    <col min="2" max="2" width="14.5546875" style="61" customWidth="1"/>
    <col min="3" max="4" width="20.5546875" style="61" customWidth="1"/>
    <col min="5" max="5" width="8.5546875" style="61" customWidth="1"/>
    <col min="6" max="6" width="9.5546875" style="61" bestFit="1" customWidth="1"/>
    <col min="7" max="7" width="7.44140625" style="61" bestFit="1" customWidth="1"/>
    <col min="39" max="39" width="22.6640625" bestFit="1" customWidth="1"/>
  </cols>
  <sheetData>
    <row r="1" spans="1:40" ht="14.4" x14ac:dyDescent="0.3">
      <c r="A1" s="59" t="s">
        <v>84</v>
      </c>
      <c r="B1" s="59" t="s">
        <v>85</v>
      </c>
      <c r="C1" s="59"/>
      <c r="D1" s="59"/>
      <c r="E1" s="59"/>
      <c r="F1" s="59" t="s">
        <v>86</v>
      </c>
      <c r="G1" s="59" t="s">
        <v>197</v>
      </c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M1" s="17"/>
    </row>
    <row r="2" spans="1:40" ht="14.4" x14ac:dyDescent="0.3">
      <c r="A2" s="60"/>
      <c r="B2" s="60" t="s">
        <v>205</v>
      </c>
      <c r="C2" s="60"/>
      <c r="D2" s="60"/>
      <c r="E2" s="60"/>
      <c r="F2" s="60">
        <v>430430</v>
      </c>
      <c r="G2" s="60" t="s">
        <v>90</v>
      </c>
      <c r="AM2" s="17"/>
      <c r="AN2" s="17"/>
    </row>
    <row r="3" spans="1:40" ht="14.4" x14ac:dyDescent="0.3">
      <c r="A3" s="60"/>
      <c r="B3" s="60" t="s">
        <v>206</v>
      </c>
      <c r="C3" s="60"/>
      <c r="D3" s="60"/>
      <c r="E3" s="60"/>
      <c r="F3" s="60">
        <v>430440</v>
      </c>
      <c r="G3" s="60" t="s">
        <v>90</v>
      </c>
      <c r="AM3" s="17"/>
      <c r="AN3" s="17"/>
    </row>
    <row r="4" spans="1:40" ht="14.4" x14ac:dyDescent="0.3">
      <c r="A4" s="60"/>
      <c r="B4" s="60" t="s">
        <v>207</v>
      </c>
      <c r="C4" s="60"/>
      <c r="D4" s="60"/>
      <c r="E4" s="60"/>
      <c r="F4" s="60">
        <v>430430</v>
      </c>
      <c r="G4" s="60" t="s">
        <v>90</v>
      </c>
      <c r="AM4" s="17"/>
      <c r="AN4" s="17"/>
    </row>
    <row r="5" spans="1:40" ht="14.4" x14ac:dyDescent="0.3">
      <c r="A5" s="60"/>
      <c r="B5" s="60" t="s">
        <v>208</v>
      </c>
      <c r="C5" s="60"/>
      <c r="D5" s="60"/>
      <c r="E5" s="60"/>
      <c r="F5" s="60">
        <v>430440</v>
      </c>
      <c r="G5" s="60" t="s">
        <v>90</v>
      </c>
      <c r="AM5" s="17"/>
      <c r="AN5" s="17"/>
    </row>
    <row r="6" spans="1:40" ht="14.4" x14ac:dyDescent="0.3">
      <c r="A6" s="60"/>
      <c r="B6" s="60" t="s">
        <v>209</v>
      </c>
      <c r="C6" s="60"/>
      <c r="D6" s="60"/>
      <c r="E6" s="60"/>
      <c r="F6" s="60">
        <v>430440</v>
      </c>
      <c r="G6" s="60" t="s">
        <v>90</v>
      </c>
      <c r="AM6" s="17"/>
      <c r="AN6" s="17"/>
    </row>
    <row r="7" spans="1:40" ht="14.4" x14ac:dyDescent="0.3">
      <c r="A7" s="60"/>
      <c r="B7" s="60" t="s">
        <v>210</v>
      </c>
      <c r="C7" s="60"/>
      <c r="D7" s="60"/>
      <c r="E7" s="60"/>
      <c r="F7" s="60">
        <v>430430</v>
      </c>
      <c r="G7" s="60" t="s">
        <v>90</v>
      </c>
      <c r="AM7" s="17"/>
      <c r="AN7" s="17"/>
    </row>
    <row r="8" spans="1:40" ht="14.4" x14ac:dyDescent="0.3">
      <c r="A8" s="60"/>
      <c r="B8" s="60" t="s">
        <v>212</v>
      </c>
      <c r="C8" s="60"/>
      <c r="D8" s="60"/>
      <c r="E8" s="60"/>
      <c r="F8" s="60">
        <v>430440</v>
      </c>
      <c r="G8" s="60" t="s">
        <v>90</v>
      </c>
      <c r="AM8" s="17"/>
      <c r="AN8" s="17"/>
    </row>
    <row r="9" spans="1:40" ht="14.4" x14ac:dyDescent="0.3">
      <c r="A9" s="60"/>
      <c r="B9" s="60" t="s">
        <v>213</v>
      </c>
      <c r="C9" s="60"/>
      <c r="D9" s="60"/>
      <c r="E9" s="60"/>
      <c r="F9" s="60">
        <v>430200</v>
      </c>
      <c r="G9" s="60" t="s">
        <v>90</v>
      </c>
      <c r="AM9" s="17"/>
      <c r="AN9" s="17"/>
    </row>
    <row r="10" spans="1:40" ht="14.4" x14ac:dyDescent="0.3">
      <c r="A10" s="60"/>
      <c r="B10" s="60" t="s">
        <v>214</v>
      </c>
      <c r="C10" s="60"/>
      <c r="D10" s="60"/>
      <c r="E10" s="60"/>
      <c r="F10" s="60">
        <v>430430</v>
      </c>
      <c r="G10" s="60" t="s">
        <v>90</v>
      </c>
      <c r="AM10" s="17"/>
      <c r="AN10" s="17"/>
    </row>
    <row r="11" spans="1:40" ht="14.4" x14ac:dyDescent="0.3">
      <c r="A11" s="60"/>
      <c r="B11" s="60" t="s">
        <v>216</v>
      </c>
      <c r="C11" s="60"/>
      <c r="D11" s="60"/>
      <c r="E11" s="60"/>
      <c r="F11" s="60">
        <v>430100</v>
      </c>
      <c r="G11" s="60" t="s">
        <v>90</v>
      </c>
      <c r="AM11" s="17"/>
      <c r="AN11" s="17"/>
    </row>
    <row r="12" spans="1:40" ht="14.4" x14ac:dyDescent="0.3">
      <c r="A12" s="60"/>
      <c r="B12" s="60" t="s">
        <v>217</v>
      </c>
      <c r="C12" s="60"/>
      <c r="D12" s="60"/>
      <c r="E12" s="60"/>
      <c r="F12" s="60">
        <v>430440</v>
      </c>
      <c r="G12" s="60" t="s">
        <v>90</v>
      </c>
      <c r="AM12" s="17"/>
      <c r="AN12" s="17"/>
    </row>
    <row r="13" spans="1:40" ht="14.4" x14ac:dyDescent="0.3">
      <c r="A13" s="60"/>
      <c r="B13" s="60" t="s">
        <v>218</v>
      </c>
      <c r="C13" s="60"/>
      <c r="D13" s="60"/>
      <c r="E13" s="60"/>
      <c r="F13" s="60">
        <v>430430</v>
      </c>
      <c r="G13" s="60" t="s">
        <v>90</v>
      </c>
      <c r="AM13" s="17"/>
      <c r="AN13" s="17"/>
    </row>
    <row r="14" spans="1:40" ht="14.4" x14ac:dyDescent="0.3">
      <c r="A14" s="60"/>
      <c r="B14" s="60" t="s">
        <v>219</v>
      </c>
      <c r="C14" s="60"/>
      <c r="D14" s="60"/>
      <c r="E14" s="60"/>
      <c r="F14" s="60">
        <v>430430</v>
      </c>
      <c r="G14" s="60" t="s">
        <v>90</v>
      </c>
      <c r="AM14" s="17"/>
      <c r="AN14" s="17"/>
    </row>
    <row r="15" spans="1:40" ht="14.4" x14ac:dyDescent="0.3">
      <c r="A15" s="60"/>
      <c r="B15" s="60" t="s">
        <v>220</v>
      </c>
      <c r="C15" s="60"/>
      <c r="D15" s="60"/>
      <c r="E15" s="60"/>
      <c r="F15" s="60">
        <v>430430</v>
      </c>
      <c r="G15" s="60" t="s">
        <v>90</v>
      </c>
      <c r="AM15" s="17"/>
      <c r="AN15" s="17"/>
    </row>
    <row r="16" spans="1:40" ht="14.4" x14ac:dyDescent="0.3">
      <c r="A16" s="60"/>
      <c r="B16" s="60" t="s">
        <v>221</v>
      </c>
      <c r="C16" s="60"/>
      <c r="D16" s="60"/>
      <c r="E16" s="60"/>
      <c r="F16" s="60">
        <v>430430</v>
      </c>
      <c r="G16" s="60" t="s">
        <v>90</v>
      </c>
      <c r="AM16" s="17"/>
      <c r="AN16" s="17"/>
    </row>
    <row r="17" spans="1:40" ht="14.4" x14ac:dyDescent="0.3">
      <c r="A17" s="60"/>
      <c r="B17" s="60" t="s">
        <v>222</v>
      </c>
      <c r="C17" s="60"/>
      <c r="D17" s="60"/>
      <c r="E17" s="60"/>
      <c r="F17" s="60">
        <v>430200</v>
      </c>
      <c r="G17" s="60" t="s">
        <v>90</v>
      </c>
      <c r="AM17" s="17"/>
      <c r="AN17" s="17"/>
    </row>
    <row r="18" spans="1:40" ht="14.4" x14ac:dyDescent="0.3">
      <c r="A18" s="60"/>
      <c r="B18" s="60" t="s">
        <v>224</v>
      </c>
      <c r="C18" s="60"/>
      <c r="D18" s="60"/>
      <c r="E18" s="60"/>
      <c r="F18" s="60">
        <v>430200</v>
      </c>
      <c r="G18" s="60" t="s">
        <v>90</v>
      </c>
      <c r="AM18" s="17"/>
      <c r="AN18" s="17"/>
    </row>
    <row r="19" spans="1:40" ht="14.4" x14ac:dyDescent="0.3">
      <c r="A19" s="60"/>
      <c r="B19" s="60" t="s">
        <v>223</v>
      </c>
      <c r="C19" s="60"/>
      <c r="D19" s="60"/>
      <c r="E19" s="60"/>
      <c r="F19" s="60">
        <v>430430</v>
      </c>
      <c r="G19" s="60" t="s">
        <v>90</v>
      </c>
      <c r="AM19" s="17"/>
      <c r="AN19" s="17"/>
    </row>
    <row r="20" spans="1:40" ht="14.4" x14ac:dyDescent="0.3">
      <c r="A20" s="60"/>
      <c r="B20" s="60" t="s">
        <v>225</v>
      </c>
      <c r="C20" s="60"/>
      <c r="D20" s="60"/>
      <c r="E20" s="60"/>
      <c r="F20" s="60">
        <v>430200</v>
      </c>
      <c r="G20" s="60" t="s">
        <v>90</v>
      </c>
      <c r="AM20" s="17"/>
      <c r="AN20" s="17"/>
    </row>
    <row r="21" spans="1:40" ht="14.4" x14ac:dyDescent="0.3">
      <c r="A21" s="60"/>
      <c r="B21" s="60" t="s">
        <v>226</v>
      </c>
      <c r="C21" s="60"/>
      <c r="D21" s="60"/>
      <c r="E21" s="60"/>
      <c r="F21" s="60">
        <v>430200</v>
      </c>
      <c r="G21" s="60" t="s">
        <v>90</v>
      </c>
      <c r="AM21" s="17"/>
      <c r="AN21" s="17"/>
    </row>
    <row r="22" spans="1:40" ht="14.4" x14ac:dyDescent="0.3">
      <c r="A22" s="60"/>
      <c r="B22" s="60" t="s">
        <v>227</v>
      </c>
      <c r="C22" s="60"/>
      <c r="D22" s="60"/>
      <c r="E22" s="60"/>
      <c r="F22" s="60">
        <v>430430</v>
      </c>
      <c r="G22" s="60" t="s">
        <v>90</v>
      </c>
      <c r="AM22" s="17"/>
      <c r="AN22" s="17"/>
    </row>
    <row r="23" spans="1:40" ht="14.4" x14ac:dyDescent="0.3">
      <c r="A23" s="60"/>
      <c r="B23" s="60" t="s">
        <v>228</v>
      </c>
      <c r="C23" s="60"/>
      <c r="D23" s="60"/>
      <c r="E23" s="60"/>
      <c r="F23" s="60">
        <v>430430</v>
      </c>
      <c r="G23" s="60" t="s">
        <v>90</v>
      </c>
      <c r="AM23" s="17"/>
      <c r="AN23" s="17"/>
    </row>
    <row r="24" spans="1:40" ht="14.4" x14ac:dyDescent="0.3">
      <c r="A24" s="60"/>
      <c r="B24" s="60" t="s">
        <v>229</v>
      </c>
      <c r="C24" s="60"/>
      <c r="D24" s="60"/>
      <c r="E24" s="60"/>
      <c r="F24" s="60">
        <v>430430</v>
      </c>
      <c r="G24" s="60" t="s">
        <v>90</v>
      </c>
      <c r="AM24" s="17"/>
      <c r="AN24" s="17"/>
    </row>
    <row r="25" spans="1:40" ht="14.4" x14ac:dyDescent="0.3">
      <c r="A25" s="60"/>
      <c r="B25" s="60" t="s">
        <v>230</v>
      </c>
      <c r="C25" s="60"/>
      <c r="D25" s="60"/>
      <c r="E25" s="60"/>
      <c r="F25" s="60">
        <v>430430</v>
      </c>
      <c r="G25" s="60" t="s">
        <v>90</v>
      </c>
      <c r="AM25" s="17"/>
      <c r="AN25" s="17"/>
    </row>
    <row r="26" spans="1:40" ht="14.4" x14ac:dyDescent="0.3">
      <c r="A26" s="60"/>
      <c r="B26" s="60" t="s">
        <v>232</v>
      </c>
      <c r="C26" s="60"/>
      <c r="D26" s="60"/>
      <c r="E26" s="60"/>
      <c r="F26" s="60">
        <v>430440</v>
      </c>
      <c r="G26" s="60" t="s">
        <v>90</v>
      </c>
      <c r="AM26" s="17"/>
      <c r="AN26" s="17"/>
    </row>
    <row r="27" spans="1:40" ht="14.4" x14ac:dyDescent="0.3">
      <c r="A27" s="60"/>
      <c r="B27" s="60" t="s">
        <v>233</v>
      </c>
      <c r="C27" s="60"/>
      <c r="D27" s="60"/>
      <c r="E27" s="60"/>
      <c r="F27" s="60">
        <v>430440</v>
      </c>
      <c r="G27" s="60" t="s">
        <v>90</v>
      </c>
      <c r="AM27" s="17"/>
      <c r="AN27" s="17"/>
    </row>
    <row r="28" spans="1:40" ht="14.4" x14ac:dyDescent="0.3">
      <c r="A28" s="60"/>
      <c r="B28" s="60" t="s">
        <v>231</v>
      </c>
      <c r="C28" s="60"/>
      <c r="D28" s="60"/>
      <c r="E28" s="60"/>
      <c r="F28" s="60">
        <v>430200</v>
      </c>
      <c r="G28" s="60" t="s">
        <v>90</v>
      </c>
      <c r="AM28" s="17"/>
      <c r="AN28" s="17"/>
    </row>
    <row r="29" spans="1:40" ht="14.4" x14ac:dyDescent="0.3">
      <c r="A29" s="60"/>
      <c r="B29" s="60" t="s">
        <v>237</v>
      </c>
      <c r="C29" s="60"/>
      <c r="D29" s="60"/>
      <c r="E29" s="60"/>
      <c r="F29" s="60">
        <v>430200</v>
      </c>
      <c r="G29" s="60" t="s">
        <v>90</v>
      </c>
      <c r="AM29" s="17"/>
      <c r="AN29" s="17"/>
    </row>
    <row r="30" spans="1:40" ht="14.4" x14ac:dyDescent="0.3">
      <c r="A30" s="60"/>
      <c r="B30" s="60" t="s">
        <v>234</v>
      </c>
      <c r="C30" s="60"/>
      <c r="D30" s="60"/>
      <c r="E30" s="60"/>
      <c r="F30" s="60">
        <v>430430</v>
      </c>
      <c r="G30" s="60" t="s">
        <v>90</v>
      </c>
      <c r="AM30" s="17"/>
      <c r="AN30" s="17"/>
    </row>
    <row r="31" spans="1:40" ht="14.4" x14ac:dyDescent="0.3">
      <c r="A31" s="60"/>
      <c r="B31" s="60" t="s">
        <v>235</v>
      </c>
      <c r="C31" s="60"/>
      <c r="D31" s="60"/>
      <c r="E31" s="60"/>
      <c r="F31" s="60">
        <v>430200</v>
      </c>
      <c r="G31" s="60" t="s">
        <v>90</v>
      </c>
      <c r="AM31" s="17"/>
      <c r="AN31" s="17"/>
    </row>
    <row r="32" spans="1:40" ht="14.4" x14ac:dyDescent="0.3">
      <c r="A32" s="60"/>
      <c r="B32" s="60" t="s">
        <v>236</v>
      </c>
      <c r="C32" s="60"/>
      <c r="D32" s="60"/>
      <c r="E32" s="60"/>
      <c r="F32" s="60">
        <v>430440</v>
      </c>
      <c r="G32" s="60" t="s">
        <v>90</v>
      </c>
      <c r="AM32" s="17"/>
      <c r="AN32" s="17"/>
    </row>
    <row r="33" spans="1:40" ht="14.4" x14ac:dyDescent="0.3">
      <c r="A33" s="60"/>
      <c r="B33" s="60" t="s">
        <v>238</v>
      </c>
      <c r="C33" s="60"/>
      <c r="D33" s="60"/>
      <c r="E33" s="60"/>
      <c r="F33" s="60">
        <v>430430</v>
      </c>
      <c r="G33" s="60" t="s">
        <v>90</v>
      </c>
      <c r="AM33" s="17"/>
      <c r="AN33" s="17"/>
    </row>
    <row r="34" spans="1:40" ht="14.4" x14ac:dyDescent="0.3">
      <c r="A34" s="60"/>
      <c r="B34" s="60" t="s">
        <v>239</v>
      </c>
      <c r="C34" s="60"/>
      <c r="D34" s="60"/>
      <c r="E34" s="60"/>
      <c r="F34" s="60">
        <v>430430</v>
      </c>
      <c r="G34" s="60" t="s">
        <v>90</v>
      </c>
      <c r="AM34" s="17"/>
      <c r="AN34" s="17"/>
    </row>
    <row r="35" spans="1:40" ht="14.4" x14ac:dyDescent="0.3">
      <c r="A35" s="60"/>
      <c r="B35" s="60" t="s">
        <v>252</v>
      </c>
      <c r="C35" s="60"/>
      <c r="D35" s="60"/>
      <c r="E35" s="60"/>
      <c r="F35" s="60">
        <v>430430</v>
      </c>
      <c r="G35" s="60" t="s">
        <v>90</v>
      </c>
      <c r="AM35" s="17"/>
      <c r="AN35" s="17"/>
    </row>
    <row r="36" spans="1:40" ht="14.4" x14ac:dyDescent="0.3">
      <c r="A36" s="60"/>
      <c r="B36" s="60" t="s">
        <v>253</v>
      </c>
      <c r="C36" s="60"/>
      <c r="D36" s="60"/>
      <c r="E36" s="60"/>
      <c r="F36" s="60">
        <v>430200</v>
      </c>
      <c r="G36" s="60" t="s">
        <v>90</v>
      </c>
      <c r="AM36" s="17"/>
      <c r="AN36" s="17"/>
    </row>
    <row r="37" spans="1:40" ht="14.4" x14ac:dyDescent="0.3">
      <c r="A37" s="60"/>
      <c r="B37" s="60" t="s">
        <v>261</v>
      </c>
      <c r="C37" s="60"/>
      <c r="D37" s="60"/>
      <c r="E37" s="60"/>
      <c r="F37" s="60">
        <v>430100</v>
      </c>
      <c r="G37" s="60" t="s">
        <v>90</v>
      </c>
      <c r="AM37" s="17"/>
      <c r="AN37" s="17"/>
    </row>
    <row r="38" spans="1:40" ht="14.4" x14ac:dyDescent="0.3">
      <c r="A38" s="60"/>
      <c r="B38" s="60" t="s">
        <v>262</v>
      </c>
      <c r="C38" s="60"/>
      <c r="D38" s="60"/>
      <c r="E38" s="60"/>
      <c r="F38" s="60">
        <v>430100</v>
      </c>
      <c r="G38" s="60" t="s">
        <v>90</v>
      </c>
      <c r="AM38" s="17"/>
      <c r="AN38" s="17"/>
    </row>
    <row r="39" spans="1:40" ht="14.4" x14ac:dyDescent="0.3">
      <c r="A39" s="60"/>
      <c r="B39" s="60" t="s">
        <v>263</v>
      </c>
      <c r="C39" s="60"/>
      <c r="D39" s="60"/>
      <c r="E39" s="60"/>
      <c r="F39" s="60">
        <v>430100</v>
      </c>
      <c r="G39" s="60" t="s">
        <v>90</v>
      </c>
      <c r="AM39" s="17"/>
      <c r="AN39" s="17"/>
    </row>
    <row r="40" spans="1:40" ht="14.4" x14ac:dyDescent="0.3">
      <c r="A40" s="60"/>
      <c r="B40" s="60" t="s">
        <v>264</v>
      </c>
      <c r="C40" s="60"/>
      <c r="D40" s="60"/>
      <c r="E40" s="60"/>
      <c r="F40" s="60">
        <v>430200</v>
      </c>
      <c r="G40" s="60" t="s">
        <v>90</v>
      </c>
      <c r="AM40" s="17"/>
      <c r="AN40" s="17"/>
    </row>
    <row r="41" spans="1:40" ht="14.4" x14ac:dyDescent="0.3">
      <c r="A41" s="60"/>
      <c r="B41" s="60" t="s">
        <v>269</v>
      </c>
      <c r="C41" s="60"/>
      <c r="D41" s="60"/>
      <c r="E41" s="60"/>
      <c r="F41" s="60">
        <v>430440</v>
      </c>
      <c r="G41" s="60" t="s">
        <v>90</v>
      </c>
      <c r="AM41" s="17"/>
      <c r="AN41" s="17"/>
    </row>
    <row r="42" spans="1:40" ht="14.4" x14ac:dyDescent="0.3">
      <c r="A42" s="60"/>
      <c r="B42" s="60" t="s">
        <v>266</v>
      </c>
      <c r="C42" s="60"/>
      <c r="D42" s="60"/>
      <c r="E42" s="60"/>
      <c r="F42" s="60">
        <v>430440</v>
      </c>
      <c r="G42" s="60" t="s">
        <v>90</v>
      </c>
      <c r="AM42" s="17"/>
      <c r="AN42" s="17"/>
    </row>
    <row r="43" spans="1:40" ht="14.4" x14ac:dyDescent="0.3">
      <c r="A43" s="60"/>
      <c r="B43" s="60" t="s">
        <v>265</v>
      </c>
      <c r="C43" s="60"/>
      <c r="D43" s="60"/>
      <c r="E43" s="60"/>
      <c r="F43" s="60">
        <v>430200</v>
      </c>
      <c r="G43" s="60" t="s">
        <v>90</v>
      </c>
      <c r="AM43" s="17"/>
      <c r="AN43" s="17"/>
    </row>
    <row r="44" spans="1:40" ht="14.4" x14ac:dyDescent="0.3">
      <c r="A44" s="60"/>
      <c r="B44" s="60" t="s">
        <v>254</v>
      </c>
      <c r="C44" s="60"/>
      <c r="D44" s="60"/>
      <c r="E44" s="60"/>
      <c r="F44" s="60">
        <v>430430</v>
      </c>
      <c r="G44" s="60" t="s">
        <v>90</v>
      </c>
      <c r="AM44" s="17"/>
      <c r="AN44" s="17"/>
    </row>
    <row r="45" spans="1:40" ht="14.4" x14ac:dyDescent="0.3">
      <c r="A45" s="60"/>
      <c r="B45" s="60" t="s">
        <v>255</v>
      </c>
      <c r="C45" s="60"/>
      <c r="D45" s="60"/>
      <c r="E45" s="60"/>
      <c r="F45" s="60">
        <v>430440</v>
      </c>
      <c r="G45" s="60" t="s">
        <v>90</v>
      </c>
      <c r="AM45" s="17"/>
      <c r="AN45" s="17"/>
    </row>
    <row r="46" spans="1:40" ht="14.4" x14ac:dyDescent="0.3">
      <c r="A46" s="60"/>
      <c r="B46" s="60" t="s">
        <v>256</v>
      </c>
      <c r="C46" s="60"/>
      <c r="D46" s="60"/>
      <c r="E46" s="60"/>
      <c r="F46" s="60">
        <v>430440</v>
      </c>
      <c r="G46" s="60" t="s">
        <v>90</v>
      </c>
      <c r="AM46" s="17"/>
      <c r="AN46" s="17"/>
    </row>
    <row r="47" spans="1:40" ht="14.4" x14ac:dyDescent="0.3">
      <c r="A47" s="60"/>
      <c r="B47" s="60" t="s">
        <v>258</v>
      </c>
      <c r="C47" s="60"/>
      <c r="D47" s="60"/>
      <c r="E47" s="60"/>
      <c r="F47" s="60">
        <v>430430</v>
      </c>
      <c r="G47" s="60" t="s">
        <v>90</v>
      </c>
      <c r="AM47" s="17"/>
      <c r="AN47" s="17"/>
    </row>
    <row r="48" spans="1:40" ht="14.4" x14ac:dyDescent="0.3">
      <c r="A48" s="60"/>
      <c r="B48" s="60" t="s">
        <v>260</v>
      </c>
      <c r="C48" s="60"/>
      <c r="D48" s="60"/>
      <c r="E48" s="60"/>
      <c r="F48" s="60">
        <v>430430</v>
      </c>
      <c r="G48" s="60" t="s">
        <v>90</v>
      </c>
      <c r="AM48" s="17"/>
      <c r="AN48" s="17"/>
    </row>
    <row r="49" spans="1:40" ht="14.4" x14ac:dyDescent="0.3">
      <c r="A49" s="60"/>
      <c r="B49" s="60" t="s">
        <v>268</v>
      </c>
      <c r="C49" s="60"/>
      <c r="D49" s="60"/>
      <c r="E49" s="60"/>
      <c r="F49" s="60">
        <v>430440</v>
      </c>
      <c r="G49" s="60" t="s">
        <v>90</v>
      </c>
      <c r="AM49" s="17"/>
      <c r="AN49" s="17"/>
    </row>
    <row r="50" spans="1:40" ht="14.4" x14ac:dyDescent="0.3">
      <c r="A50" s="60"/>
      <c r="B50" s="60" t="s">
        <v>270</v>
      </c>
      <c r="C50" s="60"/>
      <c r="D50" s="60"/>
      <c r="E50" s="60"/>
      <c r="F50" s="60">
        <v>430430</v>
      </c>
      <c r="G50" s="60" t="s">
        <v>90</v>
      </c>
      <c r="AM50" s="17"/>
      <c r="AN50" s="17"/>
    </row>
    <row r="51" spans="1:40" ht="14.4" x14ac:dyDescent="0.3">
      <c r="A51" s="60"/>
      <c r="B51" s="60" t="s">
        <v>271</v>
      </c>
      <c r="C51" s="60"/>
      <c r="D51" s="60"/>
      <c r="E51" s="60"/>
      <c r="F51" s="60">
        <v>430430</v>
      </c>
      <c r="G51" s="60" t="s">
        <v>90</v>
      </c>
      <c r="AM51" s="17"/>
      <c r="AN51" s="17"/>
    </row>
    <row r="52" spans="1:40" ht="14.4" x14ac:dyDescent="0.3">
      <c r="A52" s="60"/>
      <c r="B52" s="60" t="s">
        <v>272</v>
      </c>
      <c r="C52" s="60"/>
      <c r="D52" s="60"/>
      <c r="E52" s="60"/>
      <c r="F52" s="60">
        <v>430440</v>
      </c>
      <c r="G52" s="60" t="s">
        <v>90</v>
      </c>
      <c r="AM52" s="17"/>
      <c r="AN52" s="17"/>
    </row>
    <row r="53" spans="1:40" ht="14.4" x14ac:dyDescent="0.3">
      <c r="A53" s="60"/>
      <c r="B53" s="60" t="s">
        <v>273</v>
      </c>
      <c r="C53" s="60"/>
      <c r="D53" s="60"/>
      <c r="E53" s="60"/>
      <c r="F53" s="60">
        <v>430440</v>
      </c>
      <c r="G53" s="60" t="s">
        <v>90</v>
      </c>
      <c r="AM53" s="17"/>
      <c r="AN53" s="17"/>
    </row>
    <row r="54" spans="1:40" ht="14.4" x14ac:dyDescent="0.3">
      <c r="A54" s="60"/>
      <c r="B54" s="60" t="s">
        <v>274</v>
      </c>
      <c r="C54" s="60"/>
      <c r="D54" s="60"/>
      <c r="E54" s="60"/>
      <c r="F54" s="60">
        <v>430430</v>
      </c>
      <c r="G54" s="60" t="s">
        <v>90</v>
      </c>
      <c r="AM54" s="17"/>
      <c r="AN54" s="17"/>
    </row>
    <row r="55" spans="1:40" ht="14.4" x14ac:dyDescent="0.3">
      <c r="A55" s="60"/>
      <c r="B55" s="60" t="s">
        <v>277</v>
      </c>
      <c r="C55" s="60"/>
      <c r="D55" s="60"/>
      <c r="E55" s="60"/>
      <c r="F55" s="60">
        <v>430440</v>
      </c>
      <c r="G55" s="60" t="s">
        <v>90</v>
      </c>
      <c r="AM55" s="17"/>
      <c r="AN55" s="17"/>
    </row>
    <row r="56" spans="1:40" ht="14.4" x14ac:dyDescent="0.3">
      <c r="A56" s="60"/>
      <c r="B56" s="60" t="s">
        <v>278</v>
      </c>
      <c r="C56" s="60"/>
      <c r="D56" s="60"/>
      <c r="E56" s="60"/>
      <c r="F56" s="60">
        <v>430430</v>
      </c>
      <c r="G56" s="60" t="s">
        <v>90</v>
      </c>
      <c r="AM56" s="17"/>
      <c r="AN56" s="17"/>
    </row>
    <row r="57" spans="1:40" ht="14.4" x14ac:dyDescent="0.3">
      <c r="A57" s="60"/>
      <c r="B57" s="60" t="s">
        <v>279</v>
      </c>
      <c r="C57" s="60"/>
      <c r="D57" s="60"/>
      <c r="E57" s="60"/>
      <c r="F57" s="60">
        <v>430430</v>
      </c>
      <c r="G57" s="60" t="s">
        <v>90</v>
      </c>
      <c r="AM57" s="17"/>
      <c r="AN57" s="17"/>
    </row>
    <row r="58" spans="1:40" ht="14.4" x14ac:dyDescent="0.3">
      <c r="A58" s="60"/>
      <c r="B58" s="60" t="s">
        <v>280</v>
      </c>
      <c r="C58" s="60"/>
      <c r="D58" s="60"/>
      <c r="E58" s="60"/>
      <c r="F58" s="60">
        <v>430100</v>
      </c>
      <c r="G58" s="60" t="s">
        <v>90</v>
      </c>
      <c r="AM58" s="17"/>
      <c r="AN58" s="17"/>
    </row>
    <row r="59" spans="1:40" ht="14.4" x14ac:dyDescent="0.3">
      <c r="A59" s="60"/>
      <c r="B59" s="60" t="s">
        <v>281</v>
      </c>
      <c r="C59" s="60"/>
      <c r="D59" s="60"/>
      <c r="E59" s="60"/>
      <c r="F59" s="60">
        <v>430100</v>
      </c>
      <c r="G59" s="60" t="s">
        <v>90</v>
      </c>
      <c r="AM59" s="17"/>
      <c r="AN59" s="17"/>
    </row>
    <row r="60" spans="1:40" ht="14.4" x14ac:dyDescent="0.3">
      <c r="A60" s="60"/>
      <c r="B60" s="60" t="s">
        <v>282</v>
      </c>
      <c r="C60" s="60"/>
      <c r="D60" s="60"/>
      <c r="E60" s="60"/>
      <c r="F60" s="60">
        <v>430100</v>
      </c>
      <c r="G60" s="60" t="s">
        <v>90</v>
      </c>
      <c r="AM60" s="17"/>
      <c r="AN60" s="17"/>
    </row>
    <row r="61" spans="1:40" ht="14.4" x14ac:dyDescent="0.3">
      <c r="A61" s="60"/>
      <c r="B61" s="60" t="s">
        <v>297</v>
      </c>
      <c r="C61" s="60"/>
      <c r="D61" s="60"/>
      <c r="E61" s="60"/>
      <c r="F61" s="60">
        <v>430430</v>
      </c>
      <c r="G61" s="60" t="s">
        <v>90</v>
      </c>
      <c r="AM61" s="17"/>
      <c r="AN61" s="17"/>
    </row>
    <row r="62" spans="1:40" ht="14.4" x14ac:dyDescent="0.3">
      <c r="A62" s="60"/>
      <c r="B62" s="60" t="s">
        <v>296</v>
      </c>
      <c r="C62" s="60"/>
      <c r="D62" s="60"/>
      <c r="E62" s="60"/>
      <c r="F62" s="60">
        <v>430440</v>
      </c>
      <c r="G62" s="60" t="s">
        <v>90</v>
      </c>
      <c r="AM62" s="17"/>
      <c r="AN62" s="17"/>
    </row>
    <row r="63" spans="1:40" ht="14.4" x14ac:dyDescent="0.3">
      <c r="A63" s="60"/>
      <c r="B63" s="60" t="s">
        <v>298</v>
      </c>
      <c r="C63" s="60"/>
      <c r="D63" s="60"/>
      <c r="E63" s="60"/>
      <c r="F63" s="60">
        <v>430440</v>
      </c>
      <c r="G63" s="60" t="s">
        <v>90</v>
      </c>
      <c r="AM63" s="17"/>
      <c r="AN63" s="17"/>
    </row>
    <row r="64" spans="1:40" ht="14.4" x14ac:dyDescent="0.3">
      <c r="A64" s="60"/>
      <c r="B64" s="60" t="s">
        <v>299</v>
      </c>
      <c r="C64" s="60"/>
      <c r="D64" s="60"/>
      <c r="E64" s="60"/>
      <c r="F64" s="60">
        <v>430440</v>
      </c>
      <c r="G64" s="60" t="s">
        <v>90</v>
      </c>
      <c r="AM64" s="17"/>
      <c r="AN64" s="17"/>
    </row>
    <row r="65" spans="1:40" ht="14.4" x14ac:dyDescent="0.3">
      <c r="A65" s="60"/>
      <c r="B65" s="60" t="s">
        <v>300</v>
      </c>
      <c r="C65" s="60"/>
      <c r="D65" s="60"/>
      <c r="E65" s="60"/>
      <c r="F65" s="60">
        <v>430440</v>
      </c>
      <c r="G65" s="60" t="s">
        <v>90</v>
      </c>
      <c r="AM65" s="17"/>
      <c r="AN65" s="17"/>
    </row>
    <row r="66" spans="1:40" ht="14.4" x14ac:dyDescent="0.3">
      <c r="A66" s="60"/>
      <c r="B66" s="60" t="s">
        <v>303</v>
      </c>
      <c r="C66" s="60"/>
      <c r="D66" s="60"/>
      <c r="E66" s="60"/>
      <c r="F66" s="60">
        <v>430100</v>
      </c>
      <c r="G66" s="60" t="s">
        <v>90</v>
      </c>
      <c r="AM66" s="17"/>
      <c r="AN66" s="17"/>
    </row>
    <row r="67" spans="1:40" ht="14.4" x14ac:dyDescent="0.3">
      <c r="A67" s="60"/>
      <c r="B67" s="60" t="s">
        <v>302</v>
      </c>
      <c r="C67" s="60"/>
      <c r="D67" s="60"/>
      <c r="E67" s="60"/>
      <c r="F67" s="60">
        <v>430430</v>
      </c>
      <c r="G67" s="60" t="s">
        <v>90</v>
      </c>
      <c r="AN67" s="17"/>
    </row>
    <row r="68" spans="1:40" x14ac:dyDescent="0.25">
      <c r="A68" s="60"/>
      <c r="B68" s="60" t="s">
        <v>301</v>
      </c>
      <c r="C68" s="60"/>
      <c r="D68" s="60"/>
      <c r="E68" s="60"/>
      <c r="F68" s="60">
        <v>430430</v>
      </c>
      <c r="G68" s="60" t="s">
        <v>90</v>
      </c>
      <c r="AM68" s="18"/>
    </row>
    <row r="69" spans="1:40" ht="14.4" x14ac:dyDescent="0.3">
      <c r="A69" s="60"/>
      <c r="B69" s="60" t="s">
        <v>304</v>
      </c>
      <c r="C69" s="60"/>
      <c r="D69" s="60"/>
      <c r="E69" s="60"/>
      <c r="F69" s="60">
        <v>430200</v>
      </c>
      <c r="G69" s="60" t="s">
        <v>90</v>
      </c>
      <c r="AM69" s="18"/>
      <c r="AN69" s="17"/>
    </row>
    <row r="70" spans="1:40" ht="14.4" x14ac:dyDescent="0.3">
      <c r="A70" s="60"/>
      <c r="B70" s="60" t="s">
        <v>241</v>
      </c>
      <c r="C70" s="60"/>
      <c r="D70" s="60"/>
      <c r="E70" s="60"/>
      <c r="F70" s="60">
        <v>430852</v>
      </c>
      <c r="G70" s="60" t="s">
        <v>88</v>
      </c>
      <c r="AN70" s="17"/>
    </row>
    <row r="71" spans="1:40" ht="14.4" x14ac:dyDescent="0.3">
      <c r="A71" s="60"/>
      <c r="B71" s="60" t="s">
        <v>240</v>
      </c>
      <c r="C71" s="60"/>
      <c r="D71" s="60"/>
      <c r="E71" s="60"/>
      <c r="F71" s="60">
        <v>430449</v>
      </c>
      <c r="G71" s="60" t="s">
        <v>88</v>
      </c>
      <c r="AM71" s="17"/>
      <c r="AN71" s="17"/>
    </row>
    <row r="72" spans="1:40" x14ac:dyDescent="0.25">
      <c r="A72" s="60"/>
      <c r="B72" s="60" t="s">
        <v>211</v>
      </c>
      <c r="C72" s="60"/>
      <c r="D72" s="60"/>
      <c r="E72" s="60"/>
      <c r="F72" s="60">
        <v>430899</v>
      </c>
      <c r="G72" s="60" t="s">
        <v>93</v>
      </c>
      <c r="AM72" s="18"/>
      <c r="AN72" s="18"/>
    </row>
    <row r="73" spans="1:40" x14ac:dyDescent="0.25">
      <c r="A73" s="60"/>
      <c r="B73" s="60" t="s">
        <v>215</v>
      </c>
      <c r="C73" s="60"/>
      <c r="D73" s="60"/>
      <c r="E73" s="60"/>
      <c r="F73" s="60">
        <v>430852</v>
      </c>
      <c r="G73" s="60" t="s">
        <v>88</v>
      </c>
      <c r="AM73" s="18"/>
      <c r="AN73" s="18"/>
    </row>
    <row r="74" spans="1:40" ht="14.4" x14ac:dyDescent="0.3">
      <c r="A74" s="60"/>
      <c r="B74" s="60" t="s">
        <v>259</v>
      </c>
      <c r="C74" s="60"/>
      <c r="D74" s="60"/>
      <c r="E74" s="60"/>
      <c r="F74" s="60">
        <v>430899</v>
      </c>
      <c r="G74" s="60" t="s">
        <v>93</v>
      </c>
      <c r="AM74" s="17"/>
      <c r="AN74" s="17"/>
    </row>
    <row r="75" spans="1:40" ht="14.4" x14ac:dyDescent="0.3">
      <c r="A75" s="60"/>
      <c r="B75" s="60" t="s">
        <v>275</v>
      </c>
      <c r="C75" s="60"/>
      <c r="D75" s="60"/>
      <c r="E75" s="60"/>
      <c r="F75" s="60">
        <v>430449</v>
      </c>
      <c r="G75" s="60" t="s">
        <v>88</v>
      </c>
      <c r="AM75" s="17"/>
      <c r="AN75" s="17"/>
    </row>
    <row r="76" spans="1:40" ht="14.4" x14ac:dyDescent="0.3">
      <c r="A76" s="60"/>
      <c r="B76" s="60" t="s">
        <v>276</v>
      </c>
      <c r="C76" s="60"/>
      <c r="D76" s="60"/>
      <c r="E76" s="60"/>
      <c r="F76" s="60">
        <v>430449</v>
      </c>
      <c r="G76" s="60" t="s">
        <v>88</v>
      </c>
      <c r="AM76" s="17"/>
      <c r="AN76" s="17"/>
    </row>
    <row r="77" spans="1:40" ht="14.4" x14ac:dyDescent="0.3">
      <c r="A77" s="60"/>
      <c r="B77" s="60" t="s">
        <v>87</v>
      </c>
      <c r="C77" s="60"/>
      <c r="D77" s="60"/>
      <c r="E77" s="60"/>
      <c r="F77" s="60">
        <v>430449</v>
      </c>
      <c r="G77" s="60" t="s">
        <v>88</v>
      </c>
      <c r="AM77" s="17"/>
      <c r="AN77" s="17"/>
    </row>
    <row r="78" spans="1:40" ht="14.4" x14ac:dyDescent="0.3">
      <c r="A78" s="60"/>
      <c r="B78" s="60" t="s">
        <v>89</v>
      </c>
      <c r="C78" s="60"/>
      <c r="D78" s="60"/>
      <c r="E78" s="60"/>
      <c r="F78" s="60">
        <v>430440</v>
      </c>
      <c r="G78" s="60" t="s">
        <v>90</v>
      </c>
      <c r="AM78" s="17"/>
      <c r="AN78" s="17"/>
    </row>
    <row r="79" spans="1:40" ht="14.4" x14ac:dyDescent="0.3">
      <c r="A79" s="60"/>
      <c r="B79" s="60" t="s">
        <v>91</v>
      </c>
      <c r="C79" s="60"/>
      <c r="D79" s="60"/>
      <c r="E79" s="60"/>
      <c r="F79" s="60">
        <v>430449</v>
      </c>
      <c r="G79" s="60" t="s">
        <v>88</v>
      </c>
      <c r="AM79" s="17"/>
      <c r="AN79" s="17"/>
    </row>
    <row r="80" spans="1:40" ht="14.4" x14ac:dyDescent="0.3">
      <c r="A80" s="60"/>
      <c r="B80" s="60" t="s">
        <v>92</v>
      </c>
      <c r="C80" s="60"/>
      <c r="D80" s="60"/>
      <c r="E80" s="60"/>
      <c r="F80" s="60">
        <v>430899</v>
      </c>
      <c r="G80" s="60" t="s">
        <v>93</v>
      </c>
      <c r="AM80" s="17"/>
      <c r="AN80" s="17"/>
    </row>
    <row r="81" spans="1:40" ht="14.4" x14ac:dyDescent="0.3">
      <c r="A81" s="60"/>
      <c r="B81" s="60" t="s">
        <v>94</v>
      </c>
      <c r="C81" s="60"/>
      <c r="D81" s="60"/>
      <c r="E81" s="60"/>
      <c r="F81" s="60">
        <v>430149</v>
      </c>
      <c r="G81" s="60" t="s">
        <v>88</v>
      </c>
      <c r="AN81" s="17"/>
    </row>
    <row r="82" spans="1:40" ht="14.4" x14ac:dyDescent="0.3">
      <c r="A82" s="60"/>
      <c r="B82" s="60" t="s">
        <v>95</v>
      </c>
      <c r="C82" s="60"/>
      <c r="D82" s="60"/>
      <c r="E82" s="60"/>
      <c r="F82" s="60">
        <v>430899</v>
      </c>
      <c r="G82" s="60" t="s">
        <v>93</v>
      </c>
      <c r="AN82" s="17"/>
    </row>
    <row r="83" spans="1:40" ht="14.4" x14ac:dyDescent="0.3">
      <c r="A83" s="60"/>
      <c r="B83" s="60" t="s">
        <v>96</v>
      </c>
      <c r="C83" s="60"/>
      <c r="D83" s="60"/>
      <c r="E83" s="60"/>
      <c r="F83" s="60">
        <v>430440</v>
      </c>
      <c r="G83" s="60" t="s">
        <v>90</v>
      </c>
      <c r="AN83" s="17"/>
    </row>
    <row r="84" spans="1:40" ht="14.4" x14ac:dyDescent="0.3">
      <c r="A84" s="60"/>
      <c r="B84" s="60" t="s">
        <v>97</v>
      </c>
      <c r="C84" s="60"/>
      <c r="D84" s="60"/>
      <c r="E84" s="60"/>
      <c r="F84" s="60">
        <v>430100</v>
      </c>
      <c r="G84" s="60" t="s">
        <v>90</v>
      </c>
      <c r="AN84" s="17"/>
    </row>
    <row r="85" spans="1:40" ht="14.4" x14ac:dyDescent="0.3">
      <c r="A85" s="60"/>
      <c r="B85" s="60" t="s">
        <v>98</v>
      </c>
      <c r="C85" s="60"/>
      <c r="D85" s="60"/>
      <c r="E85" s="60"/>
      <c r="F85" s="60">
        <v>430200</v>
      </c>
      <c r="G85" s="60" t="s">
        <v>90</v>
      </c>
      <c r="AN85" s="17"/>
    </row>
    <row r="86" spans="1:40" ht="14.4" x14ac:dyDescent="0.3">
      <c r="A86" s="60"/>
      <c r="B86" s="60" t="s">
        <v>99</v>
      </c>
      <c r="C86" s="60"/>
      <c r="D86" s="60"/>
      <c r="E86" s="60"/>
      <c r="F86" s="60">
        <v>430430</v>
      </c>
      <c r="G86" s="60" t="s">
        <v>90</v>
      </c>
      <c r="AN86" s="17"/>
    </row>
    <row r="87" spans="1:40" ht="14.4" x14ac:dyDescent="0.3">
      <c r="A87" s="60"/>
      <c r="B87" s="60" t="s">
        <v>100</v>
      </c>
      <c r="C87" s="60"/>
      <c r="D87" s="60"/>
      <c r="E87" s="60"/>
      <c r="F87" s="60">
        <v>430440</v>
      </c>
      <c r="G87" s="60" t="s">
        <v>90</v>
      </c>
      <c r="AN87" s="17"/>
    </row>
    <row r="88" spans="1:40" ht="14.4" x14ac:dyDescent="0.3">
      <c r="A88" s="60"/>
      <c r="B88" s="60" t="s">
        <v>101</v>
      </c>
      <c r="C88" s="60"/>
      <c r="D88" s="60"/>
      <c r="E88" s="60"/>
      <c r="F88" s="60">
        <v>430440</v>
      </c>
      <c r="G88" s="60" t="s">
        <v>90</v>
      </c>
      <c r="AM88" s="18"/>
      <c r="AN88" s="17"/>
    </row>
    <row r="89" spans="1:40" ht="14.4" x14ac:dyDescent="0.3">
      <c r="A89" s="60"/>
      <c r="B89" s="60" t="s">
        <v>102</v>
      </c>
      <c r="C89" s="60"/>
      <c r="D89" s="60"/>
      <c r="E89" s="60"/>
      <c r="F89" s="60">
        <v>430430</v>
      </c>
      <c r="G89" s="60" t="s">
        <v>90</v>
      </c>
      <c r="AM89" s="18"/>
      <c r="AN89" s="17"/>
    </row>
    <row r="90" spans="1:40" x14ac:dyDescent="0.25">
      <c r="A90" s="60"/>
      <c r="B90" s="60" t="s">
        <v>103</v>
      </c>
      <c r="C90" s="60"/>
      <c r="D90" s="60"/>
      <c r="E90" s="60"/>
      <c r="F90" s="60">
        <v>430200</v>
      </c>
      <c r="G90" s="60" t="s">
        <v>90</v>
      </c>
      <c r="AM90" s="18"/>
    </row>
    <row r="91" spans="1:40" x14ac:dyDescent="0.25">
      <c r="A91" s="60"/>
      <c r="B91" s="60" t="s">
        <v>104</v>
      </c>
      <c r="C91" s="60"/>
      <c r="D91" s="60"/>
      <c r="E91" s="60"/>
      <c r="F91" s="60">
        <v>430440</v>
      </c>
      <c r="G91" s="60" t="s">
        <v>90</v>
      </c>
      <c r="AM91" s="18"/>
    </row>
    <row r="92" spans="1:40" x14ac:dyDescent="0.25">
      <c r="A92" s="60"/>
      <c r="B92" s="60" t="s">
        <v>70</v>
      </c>
      <c r="C92" s="60"/>
      <c r="D92" s="60"/>
      <c r="E92" s="60"/>
      <c r="F92" s="60">
        <v>430440</v>
      </c>
      <c r="G92" s="60" t="s">
        <v>90</v>
      </c>
      <c r="AM92" s="18"/>
    </row>
    <row r="93" spans="1:40" x14ac:dyDescent="0.25">
      <c r="A93" s="60"/>
      <c r="B93" s="60" t="s">
        <v>105</v>
      </c>
      <c r="C93" s="60"/>
      <c r="D93" s="60"/>
      <c r="E93" s="60"/>
      <c r="F93" s="60">
        <v>430440</v>
      </c>
      <c r="G93" s="60" t="s">
        <v>90</v>
      </c>
      <c r="AM93" s="18"/>
      <c r="AN93" s="18"/>
    </row>
    <row r="94" spans="1:40" x14ac:dyDescent="0.25">
      <c r="A94" s="60"/>
      <c r="B94" s="60" t="s">
        <v>106</v>
      </c>
      <c r="C94" s="60"/>
      <c r="D94" s="60"/>
      <c r="E94" s="60"/>
      <c r="F94" s="60">
        <v>430430</v>
      </c>
      <c r="G94" s="60" t="s">
        <v>90</v>
      </c>
      <c r="AM94" s="18"/>
      <c r="AN94" s="18"/>
    </row>
    <row r="95" spans="1:40" x14ac:dyDescent="0.25">
      <c r="A95" s="60"/>
      <c r="B95" s="60" t="s">
        <v>107</v>
      </c>
      <c r="C95" s="60"/>
      <c r="D95" s="60"/>
      <c r="E95" s="60"/>
      <c r="F95" s="60">
        <v>430880</v>
      </c>
      <c r="G95" s="60" t="s">
        <v>90</v>
      </c>
      <c r="AM95" s="18"/>
    </row>
    <row r="96" spans="1:40" x14ac:dyDescent="0.25">
      <c r="A96" s="60"/>
      <c r="B96" s="60" t="s">
        <v>108</v>
      </c>
      <c r="C96" s="60"/>
      <c r="D96" s="60"/>
      <c r="E96" s="60"/>
      <c r="F96" s="60">
        <v>430100</v>
      </c>
      <c r="G96" s="60" t="s">
        <v>90</v>
      </c>
      <c r="AM96" s="18"/>
    </row>
    <row r="97" spans="1:40" x14ac:dyDescent="0.25">
      <c r="A97" s="60"/>
      <c r="B97" s="60" t="s">
        <v>82</v>
      </c>
      <c r="C97" s="60"/>
      <c r="D97" s="60"/>
      <c r="E97" s="60"/>
      <c r="F97" s="60">
        <v>430200</v>
      </c>
      <c r="G97" s="60" t="s">
        <v>90</v>
      </c>
      <c r="AM97" s="18"/>
    </row>
    <row r="98" spans="1:40" x14ac:dyDescent="0.25">
      <c r="A98" s="60"/>
      <c r="B98" s="60" t="s">
        <v>109</v>
      </c>
      <c r="C98" s="60"/>
      <c r="D98" s="60"/>
      <c r="E98" s="60"/>
      <c r="F98" s="60">
        <v>430440</v>
      </c>
      <c r="G98" s="60" t="s">
        <v>90</v>
      </c>
      <c r="AM98" s="18"/>
      <c r="AN98" s="18"/>
    </row>
    <row r="99" spans="1:40" x14ac:dyDescent="0.25">
      <c r="A99" s="60"/>
      <c r="B99" s="60" t="s">
        <v>72</v>
      </c>
      <c r="C99" s="60"/>
      <c r="D99" s="60"/>
      <c r="E99" s="60"/>
      <c r="F99" s="60">
        <v>430200</v>
      </c>
      <c r="G99" s="60" t="s">
        <v>90</v>
      </c>
      <c r="AM99" s="18"/>
      <c r="AN99" s="18"/>
    </row>
    <row r="100" spans="1:40" x14ac:dyDescent="0.25">
      <c r="A100" s="60"/>
      <c r="B100" s="60" t="s">
        <v>110</v>
      </c>
      <c r="C100" s="60"/>
      <c r="D100" s="60"/>
      <c r="E100" s="60"/>
      <c r="F100" s="60">
        <v>430200</v>
      </c>
      <c r="G100" s="60" t="s">
        <v>90</v>
      </c>
      <c r="AM100" s="18"/>
      <c r="AN100" s="18"/>
    </row>
    <row r="101" spans="1:40" x14ac:dyDescent="0.25">
      <c r="A101" s="60"/>
      <c r="B101" s="60" t="s">
        <v>111</v>
      </c>
      <c r="C101" s="60"/>
      <c r="D101" s="60"/>
      <c r="E101" s="60"/>
      <c r="F101" s="60">
        <v>430430</v>
      </c>
      <c r="G101" s="60" t="s">
        <v>90</v>
      </c>
      <c r="AM101" s="18"/>
      <c r="AN101" s="18"/>
    </row>
    <row r="102" spans="1:40" x14ac:dyDescent="0.25">
      <c r="A102" s="60"/>
      <c r="B102" s="60" t="s">
        <v>112</v>
      </c>
      <c r="C102" s="60"/>
      <c r="D102" s="60"/>
      <c r="E102" s="60"/>
      <c r="F102" s="60">
        <v>430100</v>
      </c>
      <c r="G102" s="60" t="s">
        <v>90</v>
      </c>
      <c r="AM102" s="18"/>
      <c r="AN102" s="18"/>
    </row>
    <row r="103" spans="1:40" x14ac:dyDescent="0.25">
      <c r="A103" s="60"/>
      <c r="B103" s="60" t="s">
        <v>78</v>
      </c>
      <c r="C103" s="60"/>
      <c r="D103" s="60"/>
      <c r="E103" s="60"/>
      <c r="F103" s="60">
        <v>430100</v>
      </c>
      <c r="G103" s="60" t="s">
        <v>90</v>
      </c>
      <c r="AM103" s="18"/>
      <c r="AN103" s="18"/>
    </row>
    <row r="104" spans="1:40" x14ac:dyDescent="0.25">
      <c r="A104" s="60"/>
      <c r="B104" s="60" t="s">
        <v>113</v>
      </c>
      <c r="C104" s="60"/>
      <c r="D104" s="60"/>
      <c r="E104" s="60"/>
      <c r="F104" s="60">
        <v>430430</v>
      </c>
      <c r="G104" s="60" t="s">
        <v>90</v>
      </c>
      <c r="AM104" s="18"/>
      <c r="AN104" s="18"/>
    </row>
    <row r="105" spans="1:40" x14ac:dyDescent="0.25">
      <c r="A105" s="60"/>
      <c r="B105" s="60" t="s">
        <v>81</v>
      </c>
      <c r="C105" s="60"/>
      <c r="D105" s="60"/>
      <c r="E105" s="60"/>
      <c r="F105" s="60">
        <v>430440</v>
      </c>
      <c r="G105" s="60" t="s">
        <v>90</v>
      </c>
    </row>
    <row r="106" spans="1:40" x14ac:dyDescent="0.25">
      <c r="A106" s="60"/>
      <c r="B106" s="60" t="s">
        <v>114</v>
      </c>
      <c r="C106" s="60"/>
      <c r="D106" s="60"/>
      <c r="E106" s="60"/>
      <c r="F106" s="60">
        <v>430440</v>
      </c>
      <c r="G106" s="60" t="s">
        <v>90</v>
      </c>
    </row>
    <row r="107" spans="1:40" x14ac:dyDescent="0.25">
      <c r="A107" s="60"/>
      <c r="B107" s="60" t="s">
        <v>115</v>
      </c>
      <c r="C107" s="60"/>
      <c r="D107" s="60"/>
      <c r="E107" s="60"/>
      <c r="F107" s="60">
        <v>430440</v>
      </c>
      <c r="G107" s="60" t="s">
        <v>90</v>
      </c>
      <c r="AM107" s="18"/>
      <c r="AN107" s="18"/>
    </row>
    <row r="108" spans="1:40" x14ac:dyDescent="0.25">
      <c r="A108" s="60"/>
      <c r="B108" s="60" t="s">
        <v>116</v>
      </c>
      <c r="C108" s="60"/>
      <c r="D108" s="60"/>
      <c r="E108" s="60"/>
      <c r="F108" s="60">
        <v>430430</v>
      </c>
      <c r="G108" s="60" t="s">
        <v>90</v>
      </c>
    </row>
    <row r="109" spans="1:40" x14ac:dyDescent="0.25">
      <c r="A109" s="60"/>
      <c r="B109" s="60" t="s">
        <v>117</v>
      </c>
      <c r="C109" s="60"/>
      <c r="D109" s="60"/>
      <c r="E109" s="60"/>
      <c r="F109" s="60">
        <v>430200</v>
      </c>
      <c r="G109" s="60" t="s">
        <v>90</v>
      </c>
    </row>
    <row r="110" spans="1:40" x14ac:dyDescent="0.25">
      <c r="A110" s="60"/>
      <c r="B110" s="60" t="s">
        <v>118</v>
      </c>
      <c r="C110" s="60"/>
      <c r="D110" s="60"/>
      <c r="E110" s="60"/>
      <c r="F110" s="60">
        <v>430100</v>
      </c>
      <c r="G110" s="60" t="s">
        <v>90</v>
      </c>
    </row>
    <row r="111" spans="1:40" x14ac:dyDescent="0.25">
      <c r="A111" s="60"/>
      <c r="B111" s="60" t="s">
        <v>71</v>
      </c>
      <c r="C111" s="60"/>
      <c r="D111" s="60"/>
      <c r="E111" s="60"/>
      <c r="F111" s="60">
        <v>430200</v>
      </c>
      <c r="G111" s="60" t="s">
        <v>90</v>
      </c>
    </row>
    <row r="112" spans="1:40" ht="14.4" x14ac:dyDescent="0.3">
      <c r="A112" s="60"/>
      <c r="B112" s="60" t="s">
        <v>119</v>
      </c>
      <c r="C112" s="60"/>
      <c r="D112" s="60"/>
      <c r="E112" s="60"/>
      <c r="F112" s="60">
        <v>430100</v>
      </c>
      <c r="G112" s="60" t="s">
        <v>90</v>
      </c>
      <c r="AL112" s="17"/>
      <c r="AM112" s="17"/>
      <c r="AN112" s="18"/>
    </row>
    <row r="113" spans="1:40" x14ac:dyDescent="0.25">
      <c r="A113" s="60"/>
      <c r="B113" s="60" t="s">
        <v>120</v>
      </c>
      <c r="C113" s="60"/>
      <c r="D113" s="60"/>
      <c r="E113" s="60"/>
      <c r="F113" s="60">
        <v>430200</v>
      </c>
      <c r="G113" s="60" t="s">
        <v>90</v>
      </c>
      <c r="AM113" s="18"/>
    </row>
    <row r="114" spans="1:40" x14ac:dyDescent="0.25">
      <c r="A114" s="60"/>
      <c r="B114" s="60" t="s">
        <v>121</v>
      </c>
      <c r="C114" s="60"/>
      <c r="D114" s="60"/>
      <c r="E114" s="60"/>
      <c r="F114" s="60">
        <v>430200</v>
      </c>
      <c r="G114" s="60" t="s">
        <v>90</v>
      </c>
      <c r="AM114" s="18"/>
      <c r="AN114" s="18"/>
    </row>
    <row r="115" spans="1:40" x14ac:dyDescent="0.25">
      <c r="A115" s="60"/>
      <c r="B115" s="60" t="s">
        <v>122</v>
      </c>
      <c r="C115" s="60"/>
      <c r="D115" s="60"/>
      <c r="E115" s="60"/>
      <c r="F115" s="60">
        <v>430200</v>
      </c>
      <c r="G115" s="60" t="s">
        <v>90</v>
      </c>
      <c r="AM115" s="18"/>
      <c r="AN115" s="18"/>
    </row>
    <row r="116" spans="1:40" x14ac:dyDescent="0.25">
      <c r="A116" s="60"/>
      <c r="B116" s="60" t="s">
        <v>123</v>
      </c>
      <c r="C116" s="60"/>
      <c r="D116" s="60"/>
      <c r="E116" s="60"/>
      <c r="F116" s="60">
        <v>430440</v>
      </c>
      <c r="G116" s="60" t="s">
        <v>90</v>
      </c>
      <c r="AM116" s="18"/>
      <c r="AN116" s="18"/>
    </row>
    <row r="117" spans="1:40" x14ac:dyDescent="0.25">
      <c r="A117" s="60"/>
      <c r="B117" s="60" t="s">
        <v>124</v>
      </c>
      <c r="C117" s="60"/>
      <c r="D117" s="60"/>
      <c r="E117" s="60"/>
      <c r="F117" s="60">
        <v>430430</v>
      </c>
      <c r="G117" s="60" t="s">
        <v>90</v>
      </c>
      <c r="AM117" s="18"/>
      <c r="AN117" s="18"/>
    </row>
    <row r="118" spans="1:40" x14ac:dyDescent="0.25">
      <c r="A118" s="60"/>
      <c r="B118" s="60" t="s">
        <v>125</v>
      </c>
      <c r="C118" s="60"/>
      <c r="D118" s="60"/>
      <c r="E118" s="60"/>
      <c r="F118" s="60">
        <v>430440</v>
      </c>
      <c r="G118" s="60" t="s">
        <v>90</v>
      </c>
      <c r="AM118" s="18"/>
    </row>
    <row r="119" spans="1:40" x14ac:dyDescent="0.25">
      <c r="A119" s="60"/>
      <c r="B119" s="60" t="s">
        <v>126</v>
      </c>
      <c r="C119" s="60"/>
      <c r="D119" s="60"/>
      <c r="E119" s="60"/>
      <c r="F119" s="60">
        <v>430430</v>
      </c>
      <c r="G119" s="60" t="s">
        <v>90</v>
      </c>
      <c r="AM119" s="18"/>
      <c r="AN119" s="18"/>
    </row>
    <row r="120" spans="1:40" x14ac:dyDescent="0.25">
      <c r="A120" s="60"/>
      <c r="B120" s="60" t="s">
        <v>127</v>
      </c>
      <c r="C120" s="60"/>
      <c r="D120" s="60"/>
      <c r="E120" s="60"/>
      <c r="F120" s="60">
        <v>430440</v>
      </c>
      <c r="G120" s="60" t="s">
        <v>90</v>
      </c>
      <c r="AM120" s="18"/>
      <c r="AN120" s="18"/>
    </row>
    <row r="121" spans="1:40" x14ac:dyDescent="0.25">
      <c r="A121" s="60"/>
      <c r="B121" s="60" t="s">
        <v>128</v>
      </c>
      <c r="C121" s="60"/>
      <c r="D121" s="60"/>
      <c r="E121" s="60"/>
      <c r="F121" s="60">
        <v>430440</v>
      </c>
      <c r="G121" s="60" t="s">
        <v>90</v>
      </c>
      <c r="AM121" s="18"/>
      <c r="AN121" s="18"/>
    </row>
    <row r="122" spans="1:40" x14ac:dyDescent="0.25">
      <c r="A122" s="60"/>
      <c r="B122" s="60" t="s">
        <v>129</v>
      </c>
      <c r="C122" s="60"/>
      <c r="D122" s="60"/>
      <c r="E122" s="60"/>
      <c r="F122" s="60">
        <v>430430</v>
      </c>
      <c r="G122" s="60" t="s">
        <v>90</v>
      </c>
      <c r="AM122" s="18"/>
      <c r="AN122" s="18"/>
    </row>
    <row r="123" spans="1:40" x14ac:dyDescent="0.25">
      <c r="A123" s="60"/>
      <c r="B123" s="60" t="s">
        <v>130</v>
      </c>
      <c r="C123" s="60"/>
      <c r="D123" s="60"/>
      <c r="E123" s="60"/>
      <c r="F123" s="60">
        <v>430430</v>
      </c>
      <c r="G123" s="60" t="s">
        <v>90</v>
      </c>
      <c r="AM123" s="18"/>
      <c r="AN123" s="18"/>
    </row>
    <row r="124" spans="1:40" x14ac:dyDescent="0.25">
      <c r="A124" s="60"/>
      <c r="B124" s="60" t="s">
        <v>131</v>
      </c>
      <c r="C124" s="60"/>
      <c r="D124" s="60"/>
      <c r="E124" s="60"/>
      <c r="F124" s="60">
        <v>430200</v>
      </c>
      <c r="G124" s="60" t="s">
        <v>90</v>
      </c>
      <c r="AM124" s="18"/>
      <c r="AN124" s="18"/>
    </row>
    <row r="125" spans="1:40" x14ac:dyDescent="0.25">
      <c r="A125" s="60"/>
      <c r="B125" s="60" t="s">
        <v>132</v>
      </c>
      <c r="C125" s="60"/>
      <c r="D125" s="60"/>
      <c r="E125" s="60"/>
      <c r="F125" s="60">
        <v>430200</v>
      </c>
      <c r="G125" s="60" t="s">
        <v>90</v>
      </c>
      <c r="AM125" s="18"/>
      <c r="AN125" s="18"/>
    </row>
    <row r="126" spans="1:40" x14ac:dyDescent="0.25">
      <c r="A126" s="60"/>
      <c r="B126" s="60" t="s">
        <v>77</v>
      </c>
      <c r="C126" s="60"/>
      <c r="D126" s="60"/>
      <c r="E126" s="60"/>
      <c r="F126" s="60">
        <v>430440</v>
      </c>
      <c r="G126" s="60" t="s">
        <v>90</v>
      </c>
      <c r="AM126" s="18"/>
      <c r="AN126" s="18"/>
    </row>
    <row r="127" spans="1:40" x14ac:dyDescent="0.25">
      <c r="A127" s="60"/>
      <c r="B127" s="60" t="s">
        <v>83</v>
      </c>
      <c r="C127" s="60"/>
      <c r="D127" s="60"/>
      <c r="E127" s="60"/>
      <c r="F127" s="60">
        <v>430100</v>
      </c>
      <c r="G127" s="60" t="s">
        <v>90</v>
      </c>
      <c r="AM127" s="18"/>
      <c r="AN127" s="18"/>
    </row>
    <row r="128" spans="1:40" x14ac:dyDescent="0.25">
      <c r="A128" s="60"/>
      <c r="B128" s="60" t="s">
        <v>80</v>
      </c>
      <c r="C128" s="60"/>
      <c r="D128" s="60"/>
      <c r="E128" s="60"/>
      <c r="F128" s="60">
        <v>430100</v>
      </c>
      <c r="G128" s="60" t="s">
        <v>90</v>
      </c>
      <c r="AM128" s="18"/>
      <c r="AN128" s="18"/>
    </row>
    <row r="129" spans="1:7" x14ac:dyDescent="0.25">
      <c r="A129" s="60"/>
      <c r="B129" s="60" t="s">
        <v>68</v>
      </c>
      <c r="C129" s="60"/>
      <c r="D129" s="60"/>
      <c r="E129" s="60"/>
      <c r="F129" s="60">
        <v>430100</v>
      </c>
      <c r="G129" s="60" t="s">
        <v>90</v>
      </c>
    </row>
    <row r="130" spans="1:7" x14ac:dyDescent="0.25">
      <c r="A130" s="60"/>
      <c r="B130" s="60" t="s">
        <v>73</v>
      </c>
      <c r="C130" s="60"/>
      <c r="D130" s="60"/>
      <c r="E130" s="60"/>
      <c r="F130" s="60">
        <v>430430</v>
      </c>
      <c r="G130" s="60" t="s">
        <v>90</v>
      </c>
    </row>
    <row r="131" spans="1:7" x14ac:dyDescent="0.25">
      <c r="A131" s="60"/>
      <c r="B131" s="60" t="s">
        <v>133</v>
      </c>
      <c r="C131" s="60"/>
      <c r="D131" s="60"/>
      <c r="E131" s="60"/>
      <c r="F131" s="60">
        <v>430100</v>
      </c>
      <c r="G131" s="60" t="s">
        <v>90</v>
      </c>
    </row>
    <row r="132" spans="1:7" x14ac:dyDescent="0.25">
      <c r="A132" s="60"/>
      <c r="B132" s="60" t="s">
        <v>75</v>
      </c>
      <c r="C132" s="60"/>
      <c r="D132" s="60"/>
      <c r="E132" s="60"/>
      <c r="F132" s="60">
        <v>430440</v>
      </c>
      <c r="G132" s="60" t="s">
        <v>90</v>
      </c>
    </row>
    <row r="133" spans="1:7" x14ac:dyDescent="0.25">
      <c r="A133" s="60"/>
      <c r="B133" s="60" t="s">
        <v>69</v>
      </c>
      <c r="C133" s="60"/>
      <c r="D133" s="60"/>
      <c r="E133" s="60"/>
      <c r="F133" s="60">
        <v>430200</v>
      </c>
      <c r="G133" s="60" t="s">
        <v>90</v>
      </c>
    </row>
    <row r="134" spans="1:7" x14ac:dyDescent="0.25">
      <c r="A134" s="60"/>
      <c r="B134" s="60" t="s">
        <v>134</v>
      </c>
      <c r="C134" s="60"/>
      <c r="D134" s="60"/>
      <c r="E134" s="60"/>
      <c r="F134" s="60">
        <v>430100</v>
      </c>
      <c r="G134" s="60" t="s">
        <v>90</v>
      </c>
    </row>
    <row r="135" spans="1:7" x14ac:dyDescent="0.25">
      <c r="A135" s="60"/>
      <c r="B135" s="60" t="s">
        <v>135</v>
      </c>
      <c r="C135" s="60"/>
      <c r="D135" s="60"/>
      <c r="E135" s="60"/>
      <c r="F135" s="60">
        <v>430430</v>
      </c>
      <c r="G135" s="60" t="s">
        <v>90</v>
      </c>
    </row>
    <row r="136" spans="1:7" x14ac:dyDescent="0.25">
      <c r="A136" s="60"/>
      <c r="B136" s="60" t="s">
        <v>76</v>
      </c>
      <c r="C136" s="60"/>
      <c r="D136" s="60"/>
      <c r="E136" s="60"/>
      <c r="F136" s="60">
        <v>430440</v>
      </c>
      <c r="G136" s="60" t="s">
        <v>90</v>
      </c>
    </row>
    <row r="137" spans="1:7" x14ac:dyDescent="0.25">
      <c r="A137" s="60"/>
      <c r="B137" s="60" t="s">
        <v>74</v>
      </c>
      <c r="C137" s="60"/>
      <c r="D137" s="60"/>
      <c r="E137" s="60"/>
      <c r="F137" s="60">
        <v>430430</v>
      </c>
      <c r="G137" s="60" t="s">
        <v>90</v>
      </c>
    </row>
    <row r="138" spans="1:7" x14ac:dyDescent="0.25">
      <c r="A138" s="60"/>
      <c r="B138" s="60" t="s">
        <v>79</v>
      </c>
      <c r="C138" s="60"/>
      <c r="D138" s="60"/>
      <c r="E138" s="60"/>
      <c r="F138" s="60">
        <v>430200</v>
      </c>
      <c r="G138" s="60" t="s">
        <v>90</v>
      </c>
    </row>
    <row r="139" spans="1:7" x14ac:dyDescent="0.25">
      <c r="A139" s="60"/>
      <c r="B139" s="60" t="s">
        <v>174</v>
      </c>
      <c r="C139" s="60"/>
      <c r="D139" s="60"/>
      <c r="E139" s="60"/>
      <c r="F139" s="60">
        <v>430852</v>
      </c>
      <c r="G139" s="60" t="s">
        <v>88</v>
      </c>
    </row>
    <row r="140" spans="1:7" x14ac:dyDescent="0.25">
      <c r="A140" s="60"/>
      <c r="B140" s="60" t="s">
        <v>173</v>
      </c>
      <c r="C140" s="60"/>
      <c r="D140" s="60"/>
      <c r="E140" s="60"/>
      <c r="F140" s="60">
        <v>430899</v>
      </c>
      <c r="G140" s="60" t="s">
        <v>93</v>
      </c>
    </row>
    <row r="141" spans="1:7" x14ac:dyDescent="0.25">
      <c r="A141" s="60"/>
      <c r="B141" s="60" t="s">
        <v>201</v>
      </c>
      <c r="C141" s="60"/>
      <c r="D141" s="60"/>
      <c r="E141" s="60"/>
      <c r="F141" s="60">
        <v>430899</v>
      </c>
      <c r="G141" s="60" t="s">
        <v>93</v>
      </c>
    </row>
    <row r="142" spans="1:7" x14ac:dyDescent="0.25">
      <c r="A142" s="60"/>
      <c r="B142" s="60" t="s">
        <v>136</v>
      </c>
      <c r="C142" s="60"/>
      <c r="D142" s="60"/>
      <c r="E142" s="60"/>
      <c r="F142" s="60">
        <v>430899</v>
      </c>
      <c r="G142" s="60" t="s">
        <v>93</v>
      </c>
    </row>
    <row r="143" spans="1:7" x14ac:dyDescent="0.25">
      <c r="A143" s="60"/>
      <c r="B143" s="60" t="s">
        <v>137</v>
      </c>
      <c r="C143" s="60"/>
      <c r="D143" s="60"/>
      <c r="E143" s="60"/>
      <c r="F143" s="60">
        <v>430880</v>
      </c>
      <c r="G143" s="60" t="s">
        <v>88</v>
      </c>
    </row>
    <row r="144" spans="1:7" x14ac:dyDescent="0.25">
      <c r="A144" s="60"/>
      <c r="B144" s="60" t="s">
        <v>195</v>
      </c>
      <c r="C144" s="60"/>
      <c r="D144" s="60"/>
      <c r="E144" s="60"/>
      <c r="F144" s="60">
        <v>430880</v>
      </c>
      <c r="G144" s="60" t="s">
        <v>88</v>
      </c>
    </row>
    <row r="145" spans="1:40" x14ac:dyDescent="0.25">
      <c r="A145" s="60"/>
      <c r="B145" s="60" t="s">
        <v>182</v>
      </c>
      <c r="C145" s="60"/>
      <c r="D145" s="60"/>
      <c r="E145" s="60"/>
      <c r="F145" s="60">
        <v>430880</v>
      </c>
      <c r="G145" s="60" t="s">
        <v>88</v>
      </c>
    </row>
    <row r="146" spans="1:40" x14ac:dyDescent="0.25">
      <c r="A146" s="60"/>
      <c r="B146" s="60" t="s">
        <v>196</v>
      </c>
      <c r="C146" s="60"/>
      <c r="D146" s="60"/>
      <c r="E146" s="60"/>
      <c r="F146" s="60">
        <v>430852</v>
      </c>
      <c r="G146" s="60" t="s">
        <v>88</v>
      </c>
    </row>
    <row r="147" spans="1:40" x14ac:dyDescent="0.25">
      <c r="A147" s="60"/>
      <c r="B147" s="60" t="s">
        <v>202</v>
      </c>
      <c r="C147" s="60"/>
      <c r="D147" s="60"/>
      <c r="E147" s="60"/>
      <c r="F147" s="60">
        <v>430200</v>
      </c>
      <c r="G147" s="60" t="s">
        <v>90</v>
      </c>
    </row>
    <row r="148" spans="1:40" x14ac:dyDescent="0.25">
      <c r="A148" s="60"/>
      <c r="B148" s="60" t="s">
        <v>203</v>
      </c>
      <c r="C148" s="60"/>
      <c r="D148" s="60"/>
      <c r="E148" s="60"/>
      <c r="F148" s="60">
        <v>430100</v>
      </c>
      <c r="G148" s="60" t="s">
        <v>90</v>
      </c>
    </row>
    <row r="149" spans="1:40" x14ac:dyDescent="0.25">
      <c r="A149" s="60"/>
      <c r="B149" s="60" t="s">
        <v>138</v>
      </c>
      <c r="C149" s="60"/>
      <c r="D149" s="60"/>
      <c r="E149" s="60"/>
      <c r="F149" s="60">
        <v>430430</v>
      </c>
      <c r="G149" s="60" t="s">
        <v>90</v>
      </c>
    </row>
    <row r="150" spans="1:40" x14ac:dyDescent="0.25">
      <c r="A150" s="60"/>
      <c r="B150" s="60" t="s">
        <v>139</v>
      </c>
      <c r="C150" s="60"/>
      <c r="D150" s="60"/>
      <c r="E150" s="60"/>
      <c r="F150" s="60">
        <v>430430</v>
      </c>
      <c r="G150" s="60" t="s">
        <v>90</v>
      </c>
    </row>
    <row r="151" spans="1:40" x14ac:dyDescent="0.25">
      <c r="A151" s="60"/>
      <c r="B151" s="60" t="s">
        <v>140</v>
      </c>
      <c r="C151" s="60"/>
      <c r="D151" s="60"/>
      <c r="E151" s="60"/>
      <c r="F151" s="60">
        <v>430440</v>
      </c>
      <c r="G151" s="60" t="s">
        <v>90</v>
      </c>
    </row>
    <row r="152" spans="1:40" x14ac:dyDescent="0.25">
      <c r="A152" s="60"/>
      <c r="B152" s="60" t="s">
        <v>141</v>
      </c>
      <c r="C152" s="60"/>
      <c r="D152" s="60"/>
      <c r="E152" s="60"/>
      <c r="F152" s="60">
        <v>430440</v>
      </c>
      <c r="G152" s="60" t="s">
        <v>90</v>
      </c>
    </row>
    <row r="153" spans="1:40" x14ac:dyDescent="0.25">
      <c r="A153" s="60"/>
      <c r="B153" s="60" t="s">
        <v>142</v>
      </c>
      <c r="C153" s="60"/>
      <c r="D153" s="60"/>
      <c r="E153" s="60"/>
      <c r="F153" s="60">
        <v>430430</v>
      </c>
      <c r="G153" s="60" t="s">
        <v>90</v>
      </c>
    </row>
    <row r="154" spans="1:40" x14ac:dyDescent="0.25">
      <c r="A154" s="60"/>
      <c r="B154" s="60" t="s">
        <v>143</v>
      </c>
      <c r="C154" s="60"/>
      <c r="D154" s="60"/>
      <c r="E154" s="60"/>
      <c r="F154" s="60">
        <v>430440</v>
      </c>
      <c r="G154" s="60" t="s">
        <v>90</v>
      </c>
    </row>
    <row r="155" spans="1:40" ht="14.4" x14ac:dyDescent="0.3">
      <c r="A155" s="60"/>
      <c r="B155" s="60" t="s">
        <v>144</v>
      </c>
      <c r="C155" s="60"/>
      <c r="D155" s="60"/>
      <c r="E155" s="60"/>
      <c r="F155" s="60">
        <v>430440</v>
      </c>
      <c r="G155" s="60" t="s">
        <v>90</v>
      </c>
      <c r="AM155" s="17"/>
      <c r="AN155" s="17"/>
    </row>
    <row r="156" spans="1:40" x14ac:dyDescent="0.25">
      <c r="A156" s="60"/>
      <c r="B156" s="60" t="s">
        <v>145</v>
      </c>
      <c r="C156" s="60"/>
      <c r="D156" s="60"/>
      <c r="E156" s="60"/>
      <c r="F156" s="60">
        <v>430440</v>
      </c>
      <c r="G156" s="60" t="s">
        <v>90</v>
      </c>
    </row>
    <row r="157" spans="1:40" x14ac:dyDescent="0.25">
      <c r="A157" s="60"/>
      <c r="B157" s="60" t="s">
        <v>146</v>
      </c>
      <c r="C157" s="60"/>
      <c r="D157" s="60"/>
      <c r="E157" s="60"/>
      <c r="F157" s="60">
        <v>430430</v>
      </c>
      <c r="G157" s="60" t="s">
        <v>90</v>
      </c>
    </row>
    <row r="158" spans="1:40" x14ac:dyDescent="0.25">
      <c r="A158" s="60"/>
      <c r="B158" s="60" t="s">
        <v>147</v>
      </c>
      <c r="C158" s="60"/>
      <c r="D158" s="60"/>
      <c r="E158" s="60"/>
      <c r="F158" s="60">
        <v>430440</v>
      </c>
      <c r="G158" s="60" t="s">
        <v>90</v>
      </c>
    </row>
    <row r="159" spans="1:40" x14ac:dyDescent="0.25">
      <c r="A159" s="60"/>
      <c r="B159" s="60" t="s">
        <v>148</v>
      </c>
      <c r="C159" s="60"/>
      <c r="D159" s="60"/>
      <c r="E159" s="60"/>
      <c r="F159" s="60">
        <v>430430</v>
      </c>
      <c r="G159" s="60" t="s">
        <v>90</v>
      </c>
    </row>
    <row r="160" spans="1:40" x14ac:dyDescent="0.25">
      <c r="A160" s="60"/>
      <c r="B160" s="60" t="s">
        <v>149</v>
      </c>
      <c r="C160" s="60"/>
      <c r="D160" s="60"/>
      <c r="E160" s="60"/>
      <c r="F160" s="60">
        <v>430430</v>
      </c>
      <c r="G160" s="60" t="s">
        <v>90</v>
      </c>
    </row>
    <row r="161" spans="1:7" x14ac:dyDescent="0.25">
      <c r="A161" s="60"/>
      <c r="B161" s="60" t="s">
        <v>150</v>
      </c>
      <c r="C161" s="60"/>
      <c r="D161" s="60"/>
      <c r="E161" s="60"/>
      <c r="F161" s="60">
        <v>430430</v>
      </c>
      <c r="G161" s="60" t="s">
        <v>90</v>
      </c>
    </row>
    <row r="162" spans="1:7" x14ac:dyDescent="0.25">
      <c r="A162" s="60"/>
      <c r="B162" s="60" t="s">
        <v>151</v>
      </c>
      <c r="C162" s="60"/>
      <c r="D162" s="60"/>
      <c r="E162" s="60"/>
      <c r="F162" s="60">
        <v>430440</v>
      </c>
      <c r="G162" s="60" t="s">
        <v>90</v>
      </c>
    </row>
    <row r="163" spans="1:7" x14ac:dyDescent="0.25">
      <c r="A163" s="60"/>
      <c r="B163" s="60" t="s">
        <v>152</v>
      </c>
      <c r="C163" s="60"/>
      <c r="D163" s="60"/>
      <c r="E163" s="60"/>
      <c r="F163" s="60">
        <v>430440</v>
      </c>
      <c r="G163" s="60" t="s">
        <v>90</v>
      </c>
    </row>
    <row r="164" spans="1:7" x14ac:dyDescent="0.25">
      <c r="A164" s="60"/>
      <c r="B164" s="60" t="s">
        <v>153</v>
      </c>
      <c r="C164" s="60"/>
      <c r="D164" s="60"/>
      <c r="E164" s="60"/>
      <c r="F164" s="60">
        <v>430430</v>
      </c>
      <c r="G164" s="60" t="s">
        <v>90</v>
      </c>
    </row>
    <row r="165" spans="1:7" x14ac:dyDescent="0.25">
      <c r="A165" s="60"/>
      <c r="B165" s="60" t="s">
        <v>154</v>
      </c>
      <c r="C165" s="60"/>
      <c r="D165" s="60"/>
      <c r="E165" s="60"/>
      <c r="F165" s="60">
        <v>430440</v>
      </c>
      <c r="G165" s="60" t="s">
        <v>90</v>
      </c>
    </row>
    <row r="166" spans="1:7" x14ac:dyDescent="0.25">
      <c r="A166" s="60"/>
      <c r="B166" s="60" t="s">
        <v>155</v>
      </c>
      <c r="C166" s="60"/>
      <c r="D166" s="60"/>
      <c r="E166" s="60"/>
      <c r="F166" s="60">
        <v>430430</v>
      </c>
      <c r="G166" s="60" t="s">
        <v>90</v>
      </c>
    </row>
    <row r="167" spans="1:7" x14ac:dyDescent="0.25">
      <c r="A167" s="60"/>
      <c r="B167" s="60" t="s">
        <v>156</v>
      </c>
      <c r="C167" s="60"/>
      <c r="D167" s="60"/>
      <c r="E167" s="60"/>
      <c r="F167" s="60">
        <v>430430</v>
      </c>
      <c r="G167" s="60" t="s">
        <v>90</v>
      </c>
    </row>
    <row r="168" spans="1:7" x14ac:dyDescent="0.25">
      <c r="A168" s="60"/>
      <c r="B168" s="60" t="s">
        <v>157</v>
      </c>
      <c r="C168" s="60"/>
      <c r="D168" s="60"/>
      <c r="E168" s="60"/>
      <c r="F168" s="60">
        <v>430430</v>
      </c>
      <c r="G168" s="60" t="s">
        <v>90</v>
      </c>
    </row>
    <row r="169" spans="1:7" x14ac:dyDescent="0.25">
      <c r="A169" s="60"/>
      <c r="B169" s="60" t="s">
        <v>158</v>
      </c>
      <c r="C169" s="60"/>
      <c r="D169" s="60"/>
      <c r="E169" s="60"/>
      <c r="F169" s="60">
        <v>430430</v>
      </c>
      <c r="G169" s="60" t="s">
        <v>90</v>
      </c>
    </row>
    <row r="170" spans="1:7" x14ac:dyDescent="0.25">
      <c r="A170" s="60"/>
      <c r="B170" s="60" t="s">
        <v>170</v>
      </c>
      <c r="C170" s="60"/>
      <c r="D170" s="60"/>
      <c r="E170" s="60"/>
      <c r="F170" s="60">
        <v>430430</v>
      </c>
      <c r="G170" s="60" t="s">
        <v>90</v>
      </c>
    </row>
    <row r="171" spans="1:7" x14ac:dyDescent="0.25">
      <c r="A171" s="60"/>
      <c r="B171" s="60" t="s">
        <v>171</v>
      </c>
      <c r="C171" s="60"/>
      <c r="D171" s="60"/>
      <c r="E171" s="60"/>
      <c r="F171" s="60">
        <v>430430</v>
      </c>
      <c r="G171" s="60" t="s">
        <v>90</v>
      </c>
    </row>
    <row r="172" spans="1:7" x14ac:dyDescent="0.25">
      <c r="A172" s="60"/>
      <c r="B172" s="60" t="s">
        <v>169</v>
      </c>
      <c r="C172" s="60"/>
      <c r="D172" s="60"/>
      <c r="E172" s="60"/>
      <c r="F172" s="60">
        <v>430430</v>
      </c>
      <c r="G172" s="60" t="s">
        <v>90</v>
      </c>
    </row>
    <row r="173" spans="1:7" x14ac:dyDescent="0.25">
      <c r="A173" s="60"/>
      <c r="B173" s="60" t="s">
        <v>176</v>
      </c>
      <c r="C173" s="60"/>
      <c r="D173" s="60"/>
      <c r="E173" s="60"/>
      <c r="F173" s="60">
        <v>430440</v>
      </c>
      <c r="G173" s="60" t="s">
        <v>90</v>
      </c>
    </row>
    <row r="174" spans="1:7" x14ac:dyDescent="0.25">
      <c r="A174" s="60"/>
      <c r="B174" s="60" t="s">
        <v>181</v>
      </c>
      <c r="C174" s="60"/>
      <c r="D174" s="60"/>
      <c r="E174" s="60"/>
      <c r="F174" s="60">
        <v>430440</v>
      </c>
      <c r="G174" s="60" t="s">
        <v>90</v>
      </c>
    </row>
    <row r="175" spans="1:7" x14ac:dyDescent="0.25">
      <c r="A175" s="60"/>
      <c r="B175" s="60" t="s">
        <v>198</v>
      </c>
      <c r="C175" s="60"/>
      <c r="D175" s="60"/>
      <c r="E175" s="60"/>
      <c r="F175" s="60">
        <v>430440</v>
      </c>
      <c r="G175" s="60" t="s">
        <v>90</v>
      </c>
    </row>
    <row r="176" spans="1:7" x14ac:dyDescent="0.25">
      <c r="A176" s="60"/>
      <c r="B176" s="60" t="s">
        <v>199</v>
      </c>
      <c r="C176" s="60"/>
      <c r="D176" s="60"/>
      <c r="E176" s="60"/>
      <c r="F176" s="60">
        <v>430440</v>
      </c>
      <c r="G176" s="60" t="s">
        <v>90</v>
      </c>
    </row>
    <row r="177" spans="1:7" x14ac:dyDescent="0.25">
      <c r="A177" s="60"/>
      <c r="B177" s="60" t="s">
        <v>200</v>
      </c>
      <c r="C177" s="60"/>
      <c r="D177" s="60"/>
      <c r="E177" s="60"/>
      <c r="F177" s="60">
        <v>430430</v>
      </c>
      <c r="G177" s="60" t="s">
        <v>90</v>
      </c>
    </row>
    <row r="178" spans="1:7" x14ac:dyDescent="0.25">
      <c r="A178" s="60"/>
      <c r="B178" s="60" t="s">
        <v>204</v>
      </c>
      <c r="C178" s="60"/>
      <c r="D178" s="60"/>
      <c r="E178" s="60"/>
      <c r="F178" s="60">
        <v>430440</v>
      </c>
      <c r="G178" s="60" t="s">
        <v>90</v>
      </c>
    </row>
    <row r="179" spans="1:7" x14ac:dyDescent="0.25">
      <c r="A179" s="60"/>
      <c r="B179" s="60" t="s">
        <v>166</v>
      </c>
      <c r="C179" s="60"/>
      <c r="D179" s="60"/>
      <c r="E179" s="60"/>
      <c r="F179" s="60">
        <v>430430</v>
      </c>
      <c r="G179" s="60" t="s">
        <v>90</v>
      </c>
    </row>
    <row r="180" spans="1:7" x14ac:dyDescent="0.25">
      <c r="A180" s="60"/>
      <c r="B180" s="60" t="s">
        <v>168</v>
      </c>
      <c r="C180" s="60"/>
      <c r="D180" s="60"/>
      <c r="E180" s="60"/>
      <c r="F180" s="60">
        <v>430430</v>
      </c>
      <c r="G180" s="60" t="s">
        <v>90</v>
      </c>
    </row>
    <row r="181" spans="1:7" x14ac:dyDescent="0.25">
      <c r="A181" s="60"/>
      <c r="B181" s="60" t="s">
        <v>167</v>
      </c>
      <c r="C181" s="60"/>
      <c r="D181" s="60"/>
      <c r="E181" s="60"/>
      <c r="F181" s="60">
        <v>430440</v>
      </c>
      <c r="G181" s="60" t="s">
        <v>90</v>
      </c>
    </row>
    <row r="182" spans="1:7" x14ac:dyDescent="0.25">
      <c r="A182" s="60"/>
      <c r="B182" s="60" t="s">
        <v>175</v>
      </c>
      <c r="C182" s="60"/>
      <c r="D182" s="60"/>
      <c r="E182" s="60"/>
      <c r="F182" s="60">
        <v>430100</v>
      </c>
      <c r="G182" s="60" t="s">
        <v>90</v>
      </c>
    </row>
    <row r="183" spans="1:7" x14ac:dyDescent="0.25">
      <c r="A183" s="60"/>
      <c r="B183" s="60" t="s">
        <v>172</v>
      </c>
      <c r="C183" s="60"/>
      <c r="D183" s="60"/>
      <c r="E183" s="60"/>
      <c r="F183" s="60">
        <v>430200</v>
      </c>
      <c r="G183" s="60" t="s">
        <v>90</v>
      </c>
    </row>
    <row r="184" spans="1:7" x14ac:dyDescent="0.25">
      <c r="A184" s="60"/>
      <c r="B184" s="60" t="s">
        <v>177</v>
      </c>
      <c r="C184" s="60"/>
      <c r="D184" s="60"/>
      <c r="E184" s="60"/>
      <c r="F184" s="60">
        <v>430100</v>
      </c>
      <c r="G184" s="60" t="s">
        <v>90</v>
      </c>
    </row>
    <row r="185" spans="1:7" x14ac:dyDescent="0.25">
      <c r="A185" s="60"/>
      <c r="B185" s="60" t="s">
        <v>178</v>
      </c>
      <c r="C185" s="60"/>
      <c r="D185" s="60"/>
      <c r="E185" s="60"/>
      <c r="F185" s="60">
        <v>430100</v>
      </c>
      <c r="G185" s="60" t="s">
        <v>90</v>
      </c>
    </row>
    <row r="186" spans="1:7" x14ac:dyDescent="0.25">
      <c r="A186" s="60"/>
      <c r="B186" s="60" t="s">
        <v>179</v>
      </c>
      <c r="C186" s="60"/>
      <c r="D186" s="60"/>
      <c r="E186" s="60"/>
      <c r="F186" s="60">
        <v>430200</v>
      </c>
      <c r="G186" s="60" t="s">
        <v>90</v>
      </c>
    </row>
    <row r="187" spans="1:7" x14ac:dyDescent="0.25">
      <c r="A187" s="60"/>
      <c r="B187" s="60" t="s">
        <v>180</v>
      </c>
      <c r="C187" s="60"/>
      <c r="D187" s="60"/>
      <c r="E187" s="60"/>
      <c r="F187" s="60">
        <v>430100</v>
      </c>
      <c r="G187" s="60" t="s">
        <v>90</v>
      </c>
    </row>
    <row r="188" spans="1:7" x14ac:dyDescent="0.25">
      <c r="A188" s="60"/>
      <c r="B188" s="60" t="s">
        <v>183</v>
      </c>
      <c r="C188" s="60"/>
      <c r="D188" s="60"/>
      <c r="E188" s="60"/>
      <c r="F188" s="60">
        <v>430200</v>
      </c>
      <c r="G188" s="60" t="s">
        <v>90</v>
      </c>
    </row>
    <row r="189" spans="1:7" x14ac:dyDescent="0.25">
      <c r="A189" s="60"/>
      <c r="B189" s="60" t="s">
        <v>184</v>
      </c>
      <c r="C189" s="60"/>
      <c r="D189" s="60"/>
      <c r="E189" s="60"/>
      <c r="F189" s="60">
        <v>430100</v>
      </c>
      <c r="G189" s="60" t="s">
        <v>90</v>
      </c>
    </row>
    <row r="190" spans="1:7" x14ac:dyDescent="0.25">
      <c r="A190" s="60"/>
      <c r="B190" s="60" t="s">
        <v>185</v>
      </c>
      <c r="C190" s="60"/>
      <c r="D190" s="60"/>
      <c r="E190" s="60"/>
      <c r="F190" s="60">
        <v>430100</v>
      </c>
      <c r="G190" s="60" t="s">
        <v>90</v>
      </c>
    </row>
    <row r="191" spans="1:7" x14ac:dyDescent="0.25">
      <c r="A191" s="60"/>
      <c r="B191" s="60" t="s">
        <v>186</v>
      </c>
      <c r="C191" s="60"/>
      <c r="D191" s="60"/>
      <c r="E191" s="60"/>
      <c r="F191" s="60">
        <v>430100</v>
      </c>
      <c r="G191" s="60" t="s">
        <v>90</v>
      </c>
    </row>
    <row r="192" spans="1:7" x14ac:dyDescent="0.25">
      <c r="A192" s="60"/>
      <c r="B192" s="60" t="s">
        <v>187</v>
      </c>
      <c r="C192" s="60"/>
      <c r="D192" s="60"/>
      <c r="E192" s="60"/>
      <c r="F192" s="60">
        <v>430200</v>
      </c>
      <c r="G192" s="60" t="s">
        <v>90</v>
      </c>
    </row>
    <row r="193" spans="1:7" x14ac:dyDescent="0.25">
      <c r="A193" s="60"/>
      <c r="B193" s="60" t="s">
        <v>188</v>
      </c>
      <c r="C193" s="60"/>
      <c r="D193" s="60"/>
      <c r="E193" s="60"/>
      <c r="F193" s="60">
        <v>430430</v>
      </c>
      <c r="G193" s="60" t="s">
        <v>90</v>
      </c>
    </row>
    <row r="194" spans="1:7" x14ac:dyDescent="0.25">
      <c r="B194" s="61" t="s">
        <v>189</v>
      </c>
      <c r="F194" s="60">
        <v>430430</v>
      </c>
      <c r="G194" s="61" t="s">
        <v>90</v>
      </c>
    </row>
    <row r="195" spans="1:7" x14ac:dyDescent="0.25">
      <c r="B195" s="61" t="s">
        <v>190</v>
      </c>
      <c r="F195" s="61">
        <v>430440</v>
      </c>
      <c r="G195" s="61" t="s">
        <v>90</v>
      </c>
    </row>
    <row r="196" spans="1:7" x14ac:dyDescent="0.25">
      <c r="B196" s="61" t="s">
        <v>191</v>
      </c>
      <c r="F196" s="61">
        <v>430440</v>
      </c>
      <c r="G196" s="61" t="s">
        <v>90</v>
      </c>
    </row>
    <row r="197" spans="1:7" x14ac:dyDescent="0.25">
      <c r="B197" s="61" t="s">
        <v>192</v>
      </c>
      <c r="F197" s="61">
        <v>430200</v>
      </c>
      <c r="G197" s="61" t="s">
        <v>90</v>
      </c>
    </row>
    <row r="198" spans="1:7" x14ac:dyDescent="0.25">
      <c r="B198" s="61" t="s">
        <v>193</v>
      </c>
      <c r="F198" s="61">
        <v>430100</v>
      </c>
      <c r="G198" s="61" t="s">
        <v>90</v>
      </c>
    </row>
    <row r="199" spans="1:7" x14ac:dyDescent="0.25">
      <c r="B199" s="61" t="s">
        <v>194</v>
      </c>
      <c r="F199" s="60">
        <v>430430</v>
      </c>
      <c r="G199" s="61" t="s">
        <v>90</v>
      </c>
    </row>
    <row r="200" spans="1:7" x14ac:dyDescent="0.25">
      <c r="B200" s="61" t="s">
        <v>159</v>
      </c>
      <c r="F200" s="61">
        <v>430440</v>
      </c>
      <c r="G200" s="61" t="s">
        <v>90</v>
      </c>
    </row>
    <row r="201" spans="1:7" x14ac:dyDescent="0.25">
      <c r="B201" s="61" t="s">
        <v>160</v>
      </c>
      <c r="F201" s="60">
        <v>430430</v>
      </c>
      <c r="G201" s="61" t="s">
        <v>90</v>
      </c>
    </row>
    <row r="202" spans="1:7" x14ac:dyDescent="0.25">
      <c r="B202" s="61" t="s">
        <v>161</v>
      </c>
      <c r="F202" s="61">
        <v>430440</v>
      </c>
      <c r="G202" s="61" t="s">
        <v>90</v>
      </c>
    </row>
    <row r="203" spans="1:7" x14ac:dyDescent="0.25">
      <c r="B203" s="61" t="s">
        <v>162</v>
      </c>
      <c r="F203" s="61">
        <v>430440</v>
      </c>
      <c r="G203" s="61" t="s">
        <v>90</v>
      </c>
    </row>
    <row r="204" spans="1:7" x14ac:dyDescent="0.25">
      <c r="B204" s="61" t="s">
        <v>163</v>
      </c>
      <c r="F204" s="61">
        <v>430440</v>
      </c>
      <c r="G204" s="61" t="s">
        <v>90</v>
      </c>
    </row>
    <row r="205" spans="1:7" x14ac:dyDescent="0.25">
      <c r="B205" s="61" t="s">
        <v>164</v>
      </c>
      <c r="F205" s="60">
        <v>430430</v>
      </c>
      <c r="G205" s="61" t="s">
        <v>90</v>
      </c>
    </row>
    <row r="206" spans="1:7" x14ac:dyDescent="0.25">
      <c r="B206" s="61" t="s">
        <v>165</v>
      </c>
      <c r="F206" s="60">
        <v>430430</v>
      </c>
      <c r="G206" s="61" t="s">
        <v>90</v>
      </c>
    </row>
  </sheetData>
  <autoFilter ref="F1:G206" xr:uid="{00000000-0001-0000-02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Output"/>
  <dimension ref="A1:AY90"/>
  <sheetViews>
    <sheetView topLeftCell="AM1" zoomScale="90" zoomScaleNormal="90" workbookViewId="0">
      <selection activeCell="AM5" sqref="A5:XFD7"/>
    </sheetView>
  </sheetViews>
  <sheetFormatPr defaultRowHeight="13.2" x14ac:dyDescent="0.25"/>
  <cols>
    <col min="1" max="1" width="15.88671875" bestFit="1" customWidth="1"/>
    <col min="2" max="2" width="11.109375" bestFit="1" customWidth="1"/>
    <col min="3" max="3" width="14.33203125" style="2" bestFit="1" customWidth="1"/>
    <col min="4" max="4" width="8.88671875" style="2" bestFit="1" customWidth="1"/>
    <col min="5" max="5" width="11.33203125" style="2" bestFit="1" customWidth="1"/>
    <col min="6" max="7" width="10.109375" style="2" bestFit="1" customWidth="1"/>
    <col min="8" max="8" width="5.5546875" bestFit="1" customWidth="1"/>
    <col min="9" max="9" width="18.77734375" bestFit="1" customWidth="1"/>
    <col min="10" max="10" width="9" bestFit="1" customWidth="1"/>
    <col min="11" max="11" width="13.33203125" bestFit="1" customWidth="1"/>
    <col min="12" max="12" width="6.109375" bestFit="1" customWidth="1"/>
    <col min="13" max="14" width="5.5546875" bestFit="1" customWidth="1"/>
    <col min="15" max="15" width="7.44140625" bestFit="1" customWidth="1"/>
    <col min="16" max="16" width="7.21875" bestFit="1" customWidth="1"/>
    <col min="17" max="17" width="26.77734375" bestFit="1" customWidth="1"/>
    <col min="18" max="18" width="13.5546875" bestFit="1" customWidth="1"/>
    <col min="19" max="19" width="15.109375" bestFit="1" customWidth="1"/>
    <col min="20" max="20" width="17.5546875" bestFit="1" customWidth="1"/>
    <col min="21" max="21" width="13.6640625" bestFit="1" customWidth="1"/>
    <col min="22" max="22" width="22.21875" bestFit="1" customWidth="1"/>
    <col min="23" max="23" width="7.77734375" bestFit="1" customWidth="1"/>
    <col min="24" max="24" width="13.33203125" bestFit="1" customWidth="1"/>
    <col min="25" max="25" width="21.44140625" bestFit="1" customWidth="1"/>
    <col min="26" max="33" width="9.109375" bestFit="1" customWidth="1"/>
    <col min="34" max="34" width="12.6640625" style="48" bestFit="1" customWidth="1"/>
    <col min="35" max="35" width="9.44140625" style="48" bestFit="1" customWidth="1"/>
    <col min="36" max="36" width="10.33203125" style="48" bestFit="1" customWidth="1"/>
    <col min="37" max="37" width="12.44140625" style="48" bestFit="1" customWidth="1"/>
    <col min="38" max="38" width="8.5546875" bestFit="1" customWidth="1"/>
    <col min="39" max="39" width="5.88671875" bestFit="1" customWidth="1"/>
    <col min="40" max="40" width="9.21875" bestFit="1" customWidth="1"/>
    <col min="41" max="41" width="9.109375" bestFit="1" customWidth="1"/>
    <col min="42" max="42" width="14.33203125" bestFit="1" customWidth="1"/>
    <col min="43" max="43" width="13.77734375" bestFit="1" customWidth="1"/>
    <col min="44" max="44" width="5.77734375" bestFit="1" customWidth="1"/>
    <col min="45" max="45" width="11.44140625" bestFit="1" customWidth="1"/>
    <col min="46" max="47" width="10.109375" style="2" bestFit="1" customWidth="1"/>
    <col min="48" max="48" width="8.6640625" bestFit="1" customWidth="1"/>
    <col min="49" max="49" width="10.77734375" bestFit="1" customWidth="1"/>
    <col min="50" max="50" width="15.109375" bestFit="1" customWidth="1"/>
    <col min="51" max="51" width="17.21875" bestFit="1" customWidth="1"/>
  </cols>
  <sheetData>
    <row r="1" spans="1:51" s="3" customFormat="1" ht="10.199999999999999" x14ac:dyDescent="0.2">
      <c r="A1" s="9" t="s">
        <v>0</v>
      </c>
      <c r="B1" s="9" t="s">
        <v>0</v>
      </c>
      <c r="C1" s="6" t="s">
        <v>1</v>
      </c>
      <c r="D1" s="6" t="s">
        <v>1</v>
      </c>
      <c r="E1" s="6" t="s">
        <v>1</v>
      </c>
      <c r="F1" s="6" t="s">
        <v>1</v>
      </c>
      <c r="G1" s="6" t="s">
        <v>1</v>
      </c>
      <c r="H1" s="9" t="s">
        <v>0</v>
      </c>
      <c r="I1" s="9" t="s">
        <v>0</v>
      </c>
      <c r="J1" s="9" t="s">
        <v>0</v>
      </c>
      <c r="K1" s="9" t="s">
        <v>0</v>
      </c>
      <c r="L1" s="9" t="s">
        <v>0</v>
      </c>
      <c r="M1" s="9" t="s">
        <v>0</v>
      </c>
      <c r="N1" s="9" t="s">
        <v>0</v>
      </c>
      <c r="O1" s="9" t="s">
        <v>0</v>
      </c>
      <c r="P1" s="9" t="s">
        <v>0</v>
      </c>
      <c r="Q1" s="9" t="s">
        <v>0</v>
      </c>
      <c r="R1" s="9" t="s">
        <v>0</v>
      </c>
      <c r="S1" s="9" t="s">
        <v>0</v>
      </c>
      <c r="T1" s="9" t="s">
        <v>0</v>
      </c>
      <c r="U1" s="9" t="s">
        <v>0</v>
      </c>
      <c r="V1" s="9" t="s">
        <v>0</v>
      </c>
      <c r="W1" s="9" t="s">
        <v>0</v>
      </c>
      <c r="X1" s="9" t="s">
        <v>0</v>
      </c>
      <c r="Y1" s="11" t="s">
        <v>2</v>
      </c>
      <c r="Z1" s="9" t="s">
        <v>0</v>
      </c>
      <c r="AA1" s="9" t="s">
        <v>0</v>
      </c>
      <c r="AB1" s="9" t="s">
        <v>0</v>
      </c>
      <c r="AC1" s="9" t="s">
        <v>0</v>
      </c>
      <c r="AD1" s="9" t="s">
        <v>0</v>
      </c>
      <c r="AE1" s="9" t="s">
        <v>0</v>
      </c>
      <c r="AF1" s="9" t="s">
        <v>0</v>
      </c>
      <c r="AG1" s="9" t="s">
        <v>0</v>
      </c>
      <c r="AH1" s="49" t="s">
        <v>2</v>
      </c>
      <c r="AI1" s="49" t="s">
        <v>2</v>
      </c>
      <c r="AJ1" s="49" t="s">
        <v>2</v>
      </c>
      <c r="AK1" s="49" t="s">
        <v>2</v>
      </c>
      <c r="AL1" s="9" t="s">
        <v>0</v>
      </c>
      <c r="AM1" s="7" t="s">
        <v>2</v>
      </c>
      <c r="AN1" s="20" t="s">
        <v>0</v>
      </c>
      <c r="AO1" s="9" t="s">
        <v>0</v>
      </c>
      <c r="AP1" s="9" t="s">
        <v>0</v>
      </c>
      <c r="AQ1" s="9" t="s">
        <v>0</v>
      </c>
      <c r="AR1" s="29" t="s">
        <v>0</v>
      </c>
      <c r="AS1" s="33" t="s">
        <v>2</v>
      </c>
      <c r="AT1" s="27" t="s">
        <v>0</v>
      </c>
      <c r="AU1" s="27" t="s">
        <v>0</v>
      </c>
      <c r="AV1" s="28" t="s">
        <v>2</v>
      </c>
      <c r="AW1" s="29" t="s">
        <v>0</v>
      </c>
      <c r="AX1" s="29" t="s">
        <v>0</v>
      </c>
      <c r="AY1" s="27" t="s">
        <v>1</v>
      </c>
    </row>
    <row r="2" spans="1:51" s="3" customFormat="1" ht="10.199999999999999" x14ac:dyDescent="0.2">
      <c r="A2" s="9" t="s">
        <v>3</v>
      </c>
      <c r="B2" s="9" t="s">
        <v>4</v>
      </c>
      <c r="C2" s="6" t="s">
        <v>5</v>
      </c>
      <c r="D2" s="6" t="s">
        <v>5</v>
      </c>
      <c r="E2" s="6" t="s">
        <v>5</v>
      </c>
      <c r="F2" s="6" t="s">
        <v>5</v>
      </c>
      <c r="G2" s="6" t="s">
        <v>5</v>
      </c>
      <c r="H2" s="9" t="s">
        <v>6</v>
      </c>
      <c r="I2" s="9" t="s">
        <v>6</v>
      </c>
      <c r="J2" s="9" t="s">
        <v>4</v>
      </c>
      <c r="K2" s="9" t="s">
        <v>7</v>
      </c>
      <c r="L2" s="9" t="s">
        <v>4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9" t="s">
        <v>9</v>
      </c>
      <c r="S2" s="9" t="s">
        <v>9</v>
      </c>
      <c r="T2" s="9" t="s">
        <v>4</v>
      </c>
      <c r="U2" s="9" t="s">
        <v>4</v>
      </c>
      <c r="V2" s="9" t="s">
        <v>4</v>
      </c>
      <c r="W2" s="9" t="s">
        <v>13</v>
      </c>
      <c r="X2" s="9" t="s">
        <v>13</v>
      </c>
      <c r="Y2" s="11" t="s">
        <v>14</v>
      </c>
      <c r="Z2" s="9" t="s">
        <v>4</v>
      </c>
      <c r="AA2" s="9" t="s">
        <v>15</v>
      </c>
      <c r="AB2" s="9" t="s">
        <v>4</v>
      </c>
      <c r="AC2" s="9" t="s">
        <v>15</v>
      </c>
      <c r="AD2" s="9" t="s">
        <v>4</v>
      </c>
      <c r="AE2" s="9" t="s">
        <v>15</v>
      </c>
      <c r="AF2" s="9" t="s">
        <v>4</v>
      </c>
      <c r="AG2" s="9" t="s">
        <v>15</v>
      </c>
      <c r="AH2" s="49" t="s">
        <v>16</v>
      </c>
      <c r="AI2" s="49" t="s">
        <v>16</v>
      </c>
      <c r="AJ2" s="49" t="s">
        <v>16</v>
      </c>
      <c r="AK2" s="49" t="s">
        <v>16</v>
      </c>
      <c r="AL2" s="9" t="s">
        <v>17</v>
      </c>
      <c r="AM2" s="7" t="s">
        <v>18</v>
      </c>
      <c r="AN2" s="20" t="s">
        <v>9</v>
      </c>
      <c r="AO2" s="9" t="s">
        <v>13</v>
      </c>
      <c r="AP2" s="9" t="s">
        <v>6</v>
      </c>
      <c r="AQ2" s="9" t="s">
        <v>8</v>
      </c>
      <c r="AR2" s="29" t="s">
        <v>4</v>
      </c>
      <c r="AS2" s="33" t="s">
        <v>242</v>
      </c>
      <c r="AT2" s="27" t="s">
        <v>4</v>
      </c>
      <c r="AU2" s="27" t="s">
        <v>4</v>
      </c>
      <c r="AV2" s="28" t="s">
        <v>16</v>
      </c>
      <c r="AW2" s="29" t="s">
        <v>11</v>
      </c>
      <c r="AX2" s="29" t="s">
        <v>243</v>
      </c>
      <c r="AY2" s="27" t="s">
        <v>5</v>
      </c>
    </row>
    <row r="3" spans="1:51" s="16" customFormat="1" ht="37.5" customHeight="1" x14ac:dyDescent="0.25">
      <c r="A3" s="13" t="s">
        <v>19</v>
      </c>
      <c r="B3" s="13" t="s">
        <v>20</v>
      </c>
      <c r="C3" s="24" t="s">
        <v>19</v>
      </c>
      <c r="D3" s="24"/>
      <c r="E3" s="24" t="s">
        <v>19</v>
      </c>
      <c r="F3" s="24" t="s">
        <v>19</v>
      </c>
      <c r="G3" s="24" t="s">
        <v>19</v>
      </c>
      <c r="H3" s="13"/>
      <c r="I3" s="13" t="s">
        <v>19</v>
      </c>
      <c r="J3" s="13"/>
      <c r="K3" s="13" t="s">
        <v>19</v>
      </c>
      <c r="L3" s="13"/>
      <c r="M3" s="13"/>
      <c r="N3" s="13"/>
      <c r="O3" s="13"/>
      <c r="P3" s="13"/>
      <c r="Q3" s="13"/>
      <c r="R3" s="13"/>
      <c r="S3" s="13"/>
      <c r="T3" s="13" t="s">
        <v>20</v>
      </c>
      <c r="U3" s="13" t="s">
        <v>20</v>
      </c>
      <c r="V3" s="13"/>
      <c r="W3" s="13" t="s">
        <v>19</v>
      </c>
      <c r="X3" s="13"/>
      <c r="Y3" s="14"/>
      <c r="Z3" s="13"/>
      <c r="AA3" s="13"/>
      <c r="AB3" s="13"/>
      <c r="AC3" s="13"/>
      <c r="AD3" s="13"/>
      <c r="AE3" s="13"/>
      <c r="AF3" s="13"/>
      <c r="AG3" s="13"/>
      <c r="AH3" s="50" t="s">
        <v>21</v>
      </c>
      <c r="AI3" s="50" t="s">
        <v>22</v>
      </c>
      <c r="AJ3" s="50" t="s">
        <v>23</v>
      </c>
      <c r="AK3" s="50" t="s">
        <v>24</v>
      </c>
      <c r="AL3" s="13" t="s">
        <v>23</v>
      </c>
      <c r="AM3" s="15"/>
      <c r="AN3" s="21"/>
      <c r="AO3" s="13"/>
      <c r="AP3" s="13"/>
      <c r="AQ3" s="13"/>
      <c r="AR3" s="31"/>
      <c r="AS3" s="34"/>
      <c r="AT3" s="36"/>
      <c r="AU3" s="36"/>
      <c r="AV3" s="32"/>
      <c r="AW3" s="31"/>
      <c r="AX3" s="31"/>
      <c r="AY3" s="36"/>
    </row>
    <row r="4" spans="1:51" ht="33.6" customHeight="1" x14ac:dyDescent="0.25">
      <c r="A4" s="10" t="s">
        <v>25</v>
      </c>
      <c r="B4" s="10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 t="s">
        <v>31</v>
      </c>
      <c r="H4" s="10" t="s">
        <v>32</v>
      </c>
      <c r="I4" s="10" t="s">
        <v>33</v>
      </c>
      <c r="J4" s="10" t="s">
        <v>34</v>
      </c>
      <c r="K4" s="10" t="s">
        <v>35</v>
      </c>
      <c r="L4" s="10" t="s">
        <v>36</v>
      </c>
      <c r="M4" s="10" t="s">
        <v>37</v>
      </c>
      <c r="N4" s="10" t="s">
        <v>38</v>
      </c>
      <c r="O4" s="10" t="s">
        <v>39</v>
      </c>
      <c r="P4" s="10" t="s">
        <v>40</v>
      </c>
      <c r="Q4" s="10" t="s">
        <v>41</v>
      </c>
      <c r="R4" s="10" t="s">
        <v>42</v>
      </c>
      <c r="S4" s="10" t="s">
        <v>43</v>
      </c>
      <c r="T4" s="10" t="s">
        <v>44</v>
      </c>
      <c r="U4" s="10" t="s">
        <v>45</v>
      </c>
      <c r="V4" s="10" t="s">
        <v>46</v>
      </c>
      <c r="W4" s="10" t="s">
        <v>47</v>
      </c>
      <c r="X4" s="10" t="s">
        <v>48</v>
      </c>
      <c r="Y4" s="12" t="s">
        <v>49</v>
      </c>
      <c r="Z4" s="10" t="s">
        <v>50</v>
      </c>
      <c r="AA4" s="10" t="s">
        <v>51</v>
      </c>
      <c r="AB4" s="10" t="s">
        <v>52</v>
      </c>
      <c r="AC4" s="10" t="s">
        <v>53</v>
      </c>
      <c r="AD4" s="10" t="s">
        <v>54</v>
      </c>
      <c r="AE4" s="10" t="s">
        <v>55</v>
      </c>
      <c r="AF4" s="10" t="s">
        <v>56</v>
      </c>
      <c r="AG4" s="10" t="s">
        <v>57</v>
      </c>
      <c r="AH4" s="51" t="s">
        <v>58</v>
      </c>
      <c r="AI4" s="51" t="s">
        <v>59</v>
      </c>
      <c r="AJ4" s="51" t="s">
        <v>60</v>
      </c>
      <c r="AK4" s="51" t="s">
        <v>61</v>
      </c>
      <c r="AL4" s="10" t="s">
        <v>62</v>
      </c>
      <c r="AM4" s="4" t="s">
        <v>63</v>
      </c>
      <c r="AN4" s="22" t="s">
        <v>64</v>
      </c>
      <c r="AO4" s="10" t="s">
        <v>65</v>
      </c>
      <c r="AP4" s="10" t="s">
        <v>66</v>
      </c>
      <c r="AQ4" s="10" t="s">
        <v>67</v>
      </c>
      <c r="AR4" s="30" t="s">
        <v>244</v>
      </c>
      <c r="AS4" s="35" t="s">
        <v>245</v>
      </c>
      <c r="AT4" s="25" t="s">
        <v>246</v>
      </c>
      <c r="AU4" s="25" t="s">
        <v>247</v>
      </c>
      <c r="AV4" s="26" t="s">
        <v>248</v>
      </c>
      <c r="AW4" s="30" t="s">
        <v>249</v>
      </c>
      <c r="AX4" s="30" t="s">
        <v>250</v>
      </c>
      <c r="AY4" s="25" t="s">
        <v>251</v>
      </c>
    </row>
    <row r="5" spans="1:51" x14ac:dyDescent="0.25">
      <c r="A5" s="18" t="s">
        <v>257</v>
      </c>
      <c r="B5">
        <v>4541</v>
      </c>
      <c r="C5" s="2">
        <v>46054</v>
      </c>
      <c r="E5" s="2">
        <v>46054</v>
      </c>
      <c r="F5" s="2">
        <v>46054</v>
      </c>
      <c r="G5" s="2">
        <v>46069</v>
      </c>
      <c r="H5" s="8"/>
      <c r="I5" t="s">
        <v>305</v>
      </c>
      <c r="K5" t="s">
        <v>292</v>
      </c>
      <c r="Q5" t="s">
        <v>293</v>
      </c>
      <c r="S5" s="18" t="s">
        <v>294</v>
      </c>
      <c r="T5">
        <v>815114</v>
      </c>
      <c r="U5">
        <v>46601</v>
      </c>
      <c r="W5">
        <v>27</v>
      </c>
      <c r="Z5">
        <f>VLOOKUP(AD5,mapping!B:G,5,0)</f>
        <v>430440</v>
      </c>
      <c r="AB5" t="str">
        <f>VLOOKUP(AD5,mapping!B:G,6,0)</f>
        <v>SECDIR</v>
      </c>
      <c r="AD5" t="s">
        <v>105</v>
      </c>
      <c r="AH5">
        <v>-4291</v>
      </c>
      <c r="AI5" s="53">
        <v>-1159</v>
      </c>
      <c r="AJ5" s="53"/>
      <c r="AK5" s="53" t="s">
        <v>267</v>
      </c>
      <c r="AL5" s="52"/>
      <c r="AM5" s="5"/>
      <c r="AN5">
        <v>202602</v>
      </c>
      <c r="AO5" s="8"/>
      <c r="AP5" s="8"/>
      <c r="AQ5" s="8"/>
      <c r="AR5" s="23"/>
      <c r="AX5" s="18"/>
    </row>
    <row r="6" spans="1:51" x14ac:dyDescent="0.25">
      <c r="A6" s="18" t="s">
        <v>257</v>
      </c>
      <c r="B6">
        <v>4541</v>
      </c>
      <c r="C6" s="2">
        <v>46054</v>
      </c>
      <c r="E6" s="2">
        <v>46054</v>
      </c>
      <c r="F6" s="2">
        <v>46054</v>
      </c>
      <c r="G6" s="2">
        <v>46069</v>
      </c>
      <c r="H6" s="8"/>
      <c r="I6" t="s">
        <v>305</v>
      </c>
      <c r="K6" t="s">
        <v>292</v>
      </c>
      <c r="Q6" t="s">
        <v>293</v>
      </c>
      <c r="S6" s="18" t="s">
        <v>294</v>
      </c>
      <c r="T6">
        <v>815114</v>
      </c>
      <c r="U6">
        <v>46601</v>
      </c>
      <c r="W6">
        <v>27</v>
      </c>
      <c r="Z6">
        <f>VLOOKUP(AD6,mapping!B:G,5,0)</f>
        <v>430430</v>
      </c>
      <c r="AB6" t="str">
        <f>VLOOKUP(AD6,mapping!B:G,6,0)</f>
        <v>SECDIR</v>
      </c>
      <c r="AD6" t="s">
        <v>188</v>
      </c>
      <c r="AH6">
        <v>-3768</v>
      </c>
      <c r="AI6" s="53">
        <v>-1017</v>
      </c>
      <c r="AJ6" s="53"/>
      <c r="AK6" s="53" t="s">
        <v>267</v>
      </c>
      <c r="AL6" s="52"/>
      <c r="AM6" s="5"/>
      <c r="AN6">
        <v>202602</v>
      </c>
      <c r="AO6" s="8"/>
      <c r="AP6" s="8"/>
      <c r="AQ6" s="8"/>
      <c r="AR6" s="23"/>
      <c r="AX6" s="18"/>
    </row>
    <row r="7" spans="1:51" x14ac:dyDescent="0.25">
      <c r="A7" s="18" t="s">
        <v>257</v>
      </c>
      <c r="B7">
        <v>4541</v>
      </c>
      <c r="C7" s="2">
        <v>46054</v>
      </c>
      <c r="E7" s="2">
        <v>46054</v>
      </c>
      <c r="F7" s="2">
        <v>46054</v>
      </c>
      <c r="G7" s="2">
        <v>46069</v>
      </c>
      <c r="H7" s="8"/>
      <c r="I7" t="s">
        <v>305</v>
      </c>
      <c r="K7" t="s">
        <v>292</v>
      </c>
      <c r="Q7" t="s">
        <v>293</v>
      </c>
      <c r="S7" s="18" t="s">
        <v>294</v>
      </c>
      <c r="T7">
        <v>815114</v>
      </c>
      <c r="U7">
        <v>46601</v>
      </c>
      <c r="W7">
        <v>27</v>
      </c>
      <c r="Z7">
        <f>VLOOKUP(AD7,mapping!B:G,5,0)</f>
        <v>430440</v>
      </c>
      <c r="AB7" t="str">
        <f>VLOOKUP(AD7,mapping!B:G,6,0)</f>
        <v>SECDIR</v>
      </c>
      <c r="AD7" t="s">
        <v>114</v>
      </c>
      <c r="AH7">
        <v>-3768</v>
      </c>
      <c r="AI7" s="53">
        <v>-1017</v>
      </c>
      <c r="AJ7" s="53"/>
      <c r="AK7" s="53" t="s">
        <v>267</v>
      </c>
      <c r="AL7" s="52"/>
      <c r="AM7" s="5"/>
      <c r="AN7">
        <v>202602</v>
      </c>
      <c r="AO7" s="8"/>
      <c r="AP7" s="8"/>
      <c r="AQ7" s="8"/>
      <c r="AR7" s="23"/>
      <c r="AX7" s="18"/>
    </row>
    <row r="8" spans="1:51" x14ac:dyDescent="0.25">
      <c r="A8" s="18" t="s">
        <v>257</v>
      </c>
      <c r="B8">
        <v>4541</v>
      </c>
      <c r="C8" s="2">
        <v>46054</v>
      </c>
      <c r="E8" s="2">
        <v>46054</v>
      </c>
      <c r="F8" s="2">
        <v>46054</v>
      </c>
      <c r="G8" s="2">
        <v>46069</v>
      </c>
      <c r="H8" s="8"/>
      <c r="I8" t="s">
        <v>305</v>
      </c>
      <c r="K8" t="s">
        <v>292</v>
      </c>
      <c r="Q8" t="s">
        <v>293</v>
      </c>
      <c r="S8" s="18" t="s">
        <v>294</v>
      </c>
      <c r="T8">
        <v>815114</v>
      </c>
      <c r="U8">
        <v>46601</v>
      </c>
      <c r="W8">
        <v>27</v>
      </c>
      <c r="Z8">
        <f>VLOOKUP(AD8,mapping!B:G,5,0)</f>
        <v>430440</v>
      </c>
      <c r="AB8" t="str">
        <f>VLOOKUP(AD8,mapping!B:G,6,0)</f>
        <v>SECDIR</v>
      </c>
      <c r="AD8" t="s">
        <v>191</v>
      </c>
      <c r="AH8">
        <v>-3768</v>
      </c>
      <c r="AI8" s="53">
        <v>-1017</v>
      </c>
      <c r="AJ8" s="53"/>
      <c r="AK8" s="53" t="s">
        <v>267</v>
      </c>
      <c r="AL8" s="52"/>
      <c r="AM8" s="5"/>
      <c r="AN8">
        <v>202602</v>
      </c>
      <c r="AO8" s="8"/>
      <c r="AP8" s="8"/>
      <c r="AQ8" s="8"/>
      <c r="AR8" s="23"/>
      <c r="AX8" s="18"/>
    </row>
    <row r="9" spans="1:51" x14ac:dyDescent="0.25">
      <c r="A9" s="18" t="s">
        <v>257</v>
      </c>
      <c r="B9">
        <v>4541</v>
      </c>
      <c r="C9" s="2">
        <v>46054</v>
      </c>
      <c r="E9" s="2">
        <v>46054</v>
      </c>
      <c r="F9" s="2">
        <v>46054</v>
      </c>
      <c r="G9" s="2">
        <v>46069</v>
      </c>
      <c r="H9" s="8"/>
      <c r="I9" t="s">
        <v>305</v>
      </c>
      <c r="K9" t="s">
        <v>292</v>
      </c>
      <c r="Q9" t="s">
        <v>293</v>
      </c>
      <c r="S9" s="18" t="s">
        <v>294</v>
      </c>
      <c r="T9">
        <v>815114</v>
      </c>
      <c r="U9">
        <v>46601</v>
      </c>
      <c r="W9">
        <v>27</v>
      </c>
      <c r="Z9">
        <f>VLOOKUP(AD9,mapping!B:G,5,0)</f>
        <v>430430</v>
      </c>
      <c r="AB9" t="str">
        <f>VLOOKUP(AD9,mapping!B:G,6,0)</f>
        <v>SECDIR</v>
      </c>
      <c r="AD9" t="s">
        <v>189</v>
      </c>
      <c r="AH9">
        <v>-3768</v>
      </c>
      <c r="AI9" s="53">
        <v>-1018</v>
      </c>
      <c r="AJ9" s="53"/>
      <c r="AK9" s="53" t="s">
        <v>267</v>
      </c>
      <c r="AL9" s="52"/>
      <c r="AM9" s="5"/>
      <c r="AN9">
        <v>202602</v>
      </c>
      <c r="AO9" s="8"/>
      <c r="AP9" s="8"/>
      <c r="AQ9" s="8"/>
      <c r="AR9" s="23"/>
      <c r="AX9" s="18"/>
    </row>
    <row r="10" spans="1:51" x14ac:dyDescent="0.25">
      <c r="A10" s="18" t="s">
        <v>257</v>
      </c>
      <c r="B10">
        <v>4541</v>
      </c>
      <c r="C10" s="2">
        <v>46054</v>
      </c>
      <c r="E10" s="2">
        <v>46054</v>
      </c>
      <c r="F10" s="2">
        <v>46054</v>
      </c>
      <c r="G10" s="2">
        <v>46069</v>
      </c>
      <c r="H10" s="8"/>
      <c r="I10" t="s">
        <v>305</v>
      </c>
      <c r="K10" t="s">
        <v>292</v>
      </c>
      <c r="Q10" t="s">
        <v>293</v>
      </c>
      <c r="S10" s="18" t="s">
        <v>294</v>
      </c>
      <c r="T10">
        <v>815114</v>
      </c>
      <c r="U10">
        <v>46601</v>
      </c>
      <c r="W10">
        <v>27</v>
      </c>
      <c r="Z10">
        <f>VLOOKUP(AD10,mapping!B:G,5,0)</f>
        <v>430440</v>
      </c>
      <c r="AB10" t="str">
        <f>VLOOKUP(AD10,mapping!B:G,6,0)</f>
        <v>SECDIR</v>
      </c>
      <c r="AD10" t="s">
        <v>208</v>
      </c>
      <c r="AH10">
        <v>-3768</v>
      </c>
      <c r="AI10" s="53">
        <v>-1017</v>
      </c>
      <c r="AJ10" s="53"/>
      <c r="AK10" s="53" t="s">
        <v>267</v>
      </c>
      <c r="AL10" s="52"/>
      <c r="AM10" s="5"/>
      <c r="AN10">
        <v>202602</v>
      </c>
      <c r="AO10" s="8"/>
      <c r="AP10" s="8"/>
      <c r="AQ10" s="8"/>
      <c r="AR10" s="23"/>
      <c r="AX10" s="18"/>
    </row>
    <row r="11" spans="1:51" x14ac:dyDescent="0.25">
      <c r="A11" s="18"/>
      <c r="H11" s="8"/>
      <c r="S11" s="18"/>
      <c r="AH11"/>
      <c r="AI11" s="53"/>
      <c r="AJ11" s="53"/>
      <c r="AK11" s="53"/>
      <c r="AL11" s="52"/>
      <c r="AM11" s="5"/>
      <c r="AO11" s="8"/>
      <c r="AP11" s="8"/>
      <c r="AQ11" s="8"/>
      <c r="AR11" s="23"/>
      <c r="AX11" s="18"/>
    </row>
    <row r="12" spans="1:51" x14ac:dyDescent="0.25">
      <c r="A12" s="18"/>
      <c r="H12" s="8"/>
      <c r="S12" s="18"/>
      <c r="AH12"/>
      <c r="AI12" s="53"/>
      <c r="AJ12" s="53"/>
      <c r="AK12" s="53"/>
      <c r="AL12" s="52"/>
      <c r="AM12" s="5"/>
      <c r="AO12" s="8"/>
      <c r="AP12" s="8"/>
      <c r="AQ12" s="8"/>
      <c r="AR12" s="23"/>
      <c r="AX12" s="18"/>
    </row>
    <row r="13" spans="1:51" x14ac:dyDescent="0.25">
      <c r="A13" s="18"/>
      <c r="H13" s="8"/>
      <c r="S13" s="18"/>
      <c r="AH13"/>
      <c r="AI13" s="53"/>
      <c r="AJ13" s="53"/>
      <c r="AK13" s="53"/>
      <c r="AL13" s="52"/>
      <c r="AM13" s="5"/>
      <c r="AO13" s="8"/>
      <c r="AP13" s="8"/>
      <c r="AQ13" s="8"/>
      <c r="AR13" s="23"/>
      <c r="AX13" s="18"/>
    </row>
    <row r="14" spans="1:51" x14ac:dyDescent="0.25">
      <c r="A14" s="18"/>
      <c r="H14" s="8"/>
      <c r="S14" s="18"/>
      <c r="AH14"/>
      <c r="AI14" s="53"/>
      <c r="AJ14" s="53"/>
      <c r="AK14" s="53"/>
      <c r="AL14" s="52"/>
      <c r="AM14" s="5"/>
      <c r="AO14" s="8"/>
      <c r="AP14" s="8"/>
      <c r="AQ14" s="8"/>
      <c r="AR14" s="23"/>
      <c r="AX14" s="18"/>
    </row>
    <row r="15" spans="1:51" x14ac:dyDescent="0.25">
      <c r="A15" s="18"/>
      <c r="H15" s="8"/>
      <c r="S15" s="18"/>
      <c r="AH15"/>
      <c r="AI15" s="53"/>
      <c r="AJ15" s="53"/>
      <c r="AK15" s="53"/>
      <c r="AL15" s="52"/>
      <c r="AM15" s="5"/>
      <c r="AO15" s="8"/>
      <c r="AP15" s="8"/>
      <c r="AQ15" s="8"/>
      <c r="AR15" s="23"/>
      <c r="AX15" s="18"/>
    </row>
    <row r="16" spans="1:51" x14ac:dyDescent="0.25">
      <c r="A16" s="18"/>
      <c r="H16" s="8"/>
      <c r="S16" s="18"/>
      <c r="AH16"/>
      <c r="AI16" s="53"/>
      <c r="AJ16" s="53"/>
      <c r="AK16" s="53"/>
      <c r="AL16" s="52"/>
      <c r="AM16" s="5"/>
      <c r="AO16" s="8"/>
      <c r="AP16" s="8"/>
      <c r="AQ16" s="8"/>
      <c r="AR16" s="23"/>
      <c r="AX16" s="18"/>
    </row>
    <row r="17" spans="1:50" x14ac:dyDescent="0.25">
      <c r="A17" s="18"/>
      <c r="H17" s="8"/>
      <c r="S17" s="18"/>
      <c r="AH17"/>
      <c r="AI17" s="53"/>
      <c r="AJ17" s="53"/>
      <c r="AK17" s="53"/>
      <c r="AL17" s="52"/>
      <c r="AM17" s="5"/>
      <c r="AO17" s="8"/>
      <c r="AP17" s="8"/>
      <c r="AQ17" s="8"/>
      <c r="AR17" s="23"/>
      <c r="AX17" s="18"/>
    </row>
    <row r="18" spans="1:50" x14ac:dyDescent="0.25">
      <c r="A18" s="18"/>
      <c r="H18" s="8"/>
      <c r="S18" s="18"/>
      <c r="AH18"/>
      <c r="AI18" s="53"/>
      <c r="AJ18" s="53"/>
      <c r="AK18" s="53"/>
      <c r="AL18" s="52"/>
      <c r="AM18" s="5"/>
      <c r="AO18" s="8"/>
      <c r="AP18" s="8"/>
      <c r="AQ18" s="8"/>
      <c r="AR18" s="23"/>
      <c r="AX18" s="18"/>
    </row>
    <row r="19" spans="1:50" x14ac:dyDescent="0.25">
      <c r="A19" s="18"/>
      <c r="H19" s="8"/>
      <c r="S19" s="18"/>
      <c r="AH19"/>
      <c r="AI19" s="53"/>
      <c r="AJ19" s="53"/>
      <c r="AK19" s="53"/>
      <c r="AL19" s="52"/>
      <c r="AM19" s="5"/>
      <c r="AO19" s="8"/>
      <c r="AP19" s="8"/>
      <c r="AQ19" s="8"/>
      <c r="AR19" s="23"/>
      <c r="AX19" s="18"/>
    </row>
    <row r="20" spans="1:50" x14ac:dyDescent="0.25">
      <c r="A20" s="18"/>
      <c r="H20" s="8"/>
      <c r="S20" s="18"/>
      <c r="AH20"/>
      <c r="AI20" s="53"/>
      <c r="AJ20" s="53"/>
      <c r="AK20" s="53"/>
      <c r="AL20" s="52"/>
      <c r="AM20" s="5"/>
      <c r="AO20" s="8"/>
      <c r="AP20" s="8"/>
      <c r="AQ20" s="8"/>
      <c r="AR20" s="23"/>
      <c r="AX20" s="18"/>
    </row>
    <row r="21" spans="1:50" x14ac:dyDescent="0.25">
      <c r="A21" s="18"/>
      <c r="H21" s="8"/>
      <c r="S21" s="18"/>
      <c r="AH21"/>
      <c r="AI21" s="53"/>
      <c r="AJ21" s="53"/>
      <c r="AK21" s="53"/>
      <c r="AL21" s="52"/>
      <c r="AM21" s="5"/>
      <c r="AO21" s="8"/>
      <c r="AP21" s="8"/>
      <c r="AQ21" s="8"/>
      <c r="AR21" s="23"/>
      <c r="AX21" s="18"/>
    </row>
    <row r="22" spans="1:50" x14ac:dyDescent="0.25">
      <c r="A22" s="18"/>
      <c r="H22" s="8"/>
      <c r="S22" s="18"/>
      <c r="AH22"/>
      <c r="AI22" s="53"/>
      <c r="AJ22" s="53"/>
      <c r="AK22" s="53"/>
      <c r="AL22" s="52"/>
      <c r="AM22" s="5"/>
      <c r="AO22" s="8"/>
      <c r="AP22" s="8"/>
      <c r="AQ22" s="8"/>
      <c r="AR22" s="23"/>
      <c r="AX22" s="18"/>
    </row>
    <row r="23" spans="1:50" x14ac:dyDescent="0.25">
      <c r="A23" s="18"/>
      <c r="H23" s="8"/>
      <c r="S23" s="18"/>
      <c r="AH23"/>
      <c r="AI23" s="53"/>
      <c r="AJ23" s="53"/>
      <c r="AK23" s="53"/>
      <c r="AL23" s="52"/>
      <c r="AM23" s="5"/>
      <c r="AO23" s="8"/>
      <c r="AP23" s="8"/>
      <c r="AQ23" s="8"/>
      <c r="AR23" s="23"/>
      <c r="AX23" s="18"/>
    </row>
    <row r="24" spans="1:50" x14ac:dyDescent="0.25">
      <c r="A24" s="18"/>
      <c r="H24" s="8"/>
      <c r="S24" s="18"/>
      <c r="AH24" s="54"/>
      <c r="AI24" s="53"/>
      <c r="AJ24" s="53"/>
      <c r="AK24" s="53"/>
      <c r="AL24" s="52"/>
      <c r="AM24" s="5"/>
      <c r="AO24" s="8"/>
      <c r="AP24" s="8"/>
      <c r="AQ24" s="8"/>
      <c r="AR24" s="23"/>
      <c r="AX24" s="18"/>
    </row>
    <row r="25" spans="1:50" x14ac:dyDescent="0.25">
      <c r="A25" s="18"/>
      <c r="H25" s="8"/>
      <c r="S25" s="18"/>
      <c r="AH25" s="54"/>
      <c r="AI25" s="53"/>
      <c r="AJ25" s="53"/>
      <c r="AK25" s="53"/>
      <c r="AL25" s="52"/>
      <c r="AM25" s="5"/>
      <c r="AO25" s="8"/>
      <c r="AP25" s="8"/>
      <c r="AQ25" s="8"/>
      <c r="AR25" s="23"/>
      <c r="AX25" s="18"/>
    </row>
    <row r="26" spans="1:50" x14ac:dyDescent="0.25">
      <c r="A26" s="18"/>
      <c r="H26" s="8"/>
      <c r="S26" s="18"/>
      <c r="AH26" s="54"/>
      <c r="AI26" s="53"/>
      <c r="AJ26" s="53"/>
      <c r="AK26" s="53"/>
      <c r="AL26" s="52"/>
      <c r="AM26" s="5"/>
      <c r="AO26" s="8"/>
      <c r="AP26" s="8"/>
      <c r="AQ26" s="8"/>
      <c r="AR26" s="23"/>
      <c r="AX26" s="18"/>
    </row>
    <row r="27" spans="1:50" x14ac:dyDescent="0.25">
      <c r="A27" s="18"/>
      <c r="H27" s="8"/>
      <c r="S27" s="18"/>
      <c r="AH27" s="54"/>
      <c r="AI27" s="53"/>
      <c r="AJ27" s="53"/>
      <c r="AK27" s="53"/>
      <c r="AL27" s="52"/>
      <c r="AM27" s="5"/>
      <c r="AO27" s="8"/>
      <c r="AP27" s="8"/>
      <c r="AQ27" s="8"/>
      <c r="AR27" s="23"/>
      <c r="AX27" s="18"/>
    </row>
    <row r="28" spans="1:50" x14ac:dyDescent="0.25">
      <c r="A28" s="18"/>
      <c r="H28" s="8"/>
      <c r="S28" s="18"/>
      <c r="AH28" s="54"/>
      <c r="AI28" s="53"/>
      <c r="AJ28" s="53"/>
      <c r="AK28" s="53"/>
      <c r="AL28" s="52"/>
      <c r="AM28" s="5"/>
      <c r="AO28" s="8"/>
      <c r="AP28" s="8"/>
      <c r="AQ28" s="8"/>
      <c r="AR28" s="23"/>
      <c r="AX28" s="18"/>
    </row>
    <row r="29" spans="1:50" x14ac:dyDescent="0.25">
      <c r="A29" s="18"/>
      <c r="H29" s="8"/>
      <c r="S29" s="18"/>
      <c r="AH29" s="54"/>
      <c r="AI29" s="53"/>
      <c r="AJ29" s="53"/>
      <c r="AK29" s="53"/>
      <c r="AL29" s="52"/>
      <c r="AM29" s="5"/>
      <c r="AO29" s="8"/>
      <c r="AP29" s="8"/>
      <c r="AQ29" s="8"/>
      <c r="AR29" s="23"/>
      <c r="AX29" s="18"/>
    </row>
    <row r="30" spans="1:50" x14ac:dyDescent="0.25">
      <c r="A30" s="18"/>
      <c r="H30" s="8"/>
      <c r="S30" s="18"/>
      <c r="AH30" s="54"/>
      <c r="AI30" s="53"/>
      <c r="AJ30" s="53"/>
      <c r="AK30" s="53"/>
      <c r="AL30" s="52"/>
      <c r="AM30" s="5"/>
      <c r="AO30" s="8"/>
      <c r="AP30" s="8"/>
      <c r="AQ30" s="8"/>
      <c r="AR30" s="23"/>
      <c r="AX30" s="18"/>
    </row>
    <row r="31" spans="1:50" x14ac:dyDescent="0.25">
      <c r="A31" s="18"/>
      <c r="H31" s="8"/>
      <c r="S31" s="18"/>
      <c r="AH31" s="54"/>
      <c r="AI31" s="53"/>
      <c r="AJ31" s="53"/>
      <c r="AK31" s="53"/>
      <c r="AL31" s="52"/>
      <c r="AM31" s="5"/>
      <c r="AO31" s="8"/>
      <c r="AP31" s="8"/>
      <c r="AQ31" s="8"/>
      <c r="AR31" s="23"/>
      <c r="AX31" s="18"/>
    </row>
    <row r="32" spans="1:50" x14ac:dyDescent="0.25">
      <c r="A32" s="18"/>
      <c r="H32" s="8"/>
      <c r="S32" s="18"/>
      <c r="AH32" s="54"/>
      <c r="AI32" s="53"/>
      <c r="AJ32" s="53"/>
      <c r="AK32" s="53"/>
      <c r="AL32" s="52"/>
      <c r="AM32" s="5"/>
      <c r="AO32" s="8"/>
      <c r="AP32" s="8"/>
      <c r="AQ32" s="8"/>
      <c r="AR32" s="23"/>
      <c r="AX32" s="18"/>
    </row>
    <row r="33" spans="1:51" x14ac:dyDescent="0.25">
      <c r="A33" s="18"/>
      <c r="H33" s="8"/>
      <c r="S33" s="18"/>
      <c r="AH33" s="54"/>
      <c r="AI33" s="53"/>
      <c r="AJ33" s="53"/>
      <c r="AK33" s="53"/>
      <c r="AL33" s="52"/>
      <c r="AM33" s="5"/>
      <c r="AO33" s="8"/>
      <c r="AP33" s="8"/>
      <c r="AQ33" s="8"/>
      <c r="AR33" s="23"/>
      <c r="AV33" s="53"/>
      <c r="AX33" s="18"/>
    </row>
    <row r="34" spans="1:51" x14ac:dyDescent="0.25">
      <c r="A34" s="18"/>
      <c r="H34" s="8"/>
      <c r="S34" s="18"/>
      <c r="AH34" s="54"/>
      <c r="AI34" s="53"/>
      <c r="AJ34" s="53"/>
      <c r="AK34" s="53"/>
      <c r="AL34" s="52"/>
      <c r="AM34" s="5"/>
      <c r="AO34" s="8"/>
      <c r="AP34" s="8"/>
      <c r="AQ34" s="8"/>
      <c r="AR34" s="23"/>
      <c r="AV34" s="53"/>
      <c r="AX34" s="18"/>
    </row>
    <row r="35" spans="1:51" x14ac:dyDescent="0.25">
      <c r="A35" s="18"/>
      <c r="H35" s="8"/>
      <c r="S35" s="18"/>
      <c r="AH35" s="54"/>
      <c r="AI35" s="53"/>
      <c r="AJ35" s="53"/>
      <c r="AK35" s="53"/>
      <c r="AL35" s="52"/>
      <c r="AM35" s="5"/>
      <c r="AO35" s="8"/>
      <c r="AP35" s="8"/>
      <c r="AQ35" s="8"/>
      <c r="AR35" s="23"/>
      <c r="AV35" s="53"/>
      <c r="AX35" s="18"/>
    </row>
    <row r="36" spans="1:51" x14ac:dyDescent="0.25">
      <c r="A36" s="18"/>
      <c r="H36" s="8"/>
      <c r="S36" s="18"/>
      <c r="AH36" s="53"/>
      <c r="AI36" s="53"/>
      <c r="AJ36" s="53"/>
      <c r="AK36" s="53"/>
      <c r="AL36" s="52"/>
      <c r="AM36" s="5"/>
      <c r="AO36" s="8"/>
      <c r="AP36" s="8"/>
      <c r="AQ36" s="8"/>
      <c r="AX36" s="18"/>
    </row>
    <row r="37" spans="1:51" x14ac:dyDescent="0.25">
      <c r="A37" s="18"/>
      <c r="H37" s="8"/>
      <c r="S37" s="18"/>
      <c r="AH37" s="54"/>
      <c r="AI37" s="53"/>
      <c r="AJ37" s="53"/>
      <c r="AK37" s="53"/>
      <c r="AL37" s="52"/>
      <c r="AM37" s="5"/>
      <c r="AO37" s="8"/>
      <c r="AP37" s="8"/>
      <c r="AQ37" s="8"/>
      <c r="AX37" s="18"/>
    </row>
    <row r="38" spans="1:51" x14ac:dyDescent="0.25">
      <c r="A38" s="18"/>
      <c r="H38" s="8"/>
      <c r="S38" s="18"/>
      <c r="AH38" s="54"/>
      <c r="AI38" s="53"/>
      <c r="AJ38" s="53"/>
      <c r="AK38" s="53"/>
      <c r="AL38" s="52"/>
      <c r="AM38" s="5"/>
      <c r="AO38" s="8"/>
      <c r="AP38" s="8"/>
      <c r="AQ38" s="8"/>
      <c r="AX38" s="18"/>
    </row>
    <row r="39" spans="1:51" x14ac:dyDescent="0.25">
      <c r="A39" s="18"/>
      <c r="H39" s="8"/>
      <c r="S39" s="18"/>
      <c r="AH39" s="54"/>
      <c r="AI39" s="53"/>
      <c r="AJ39" s="53"/>
      <c r="AK39" s="53"/>
      <c r="AL39" s="52"/>
      <c r="AM39" s="5"/>
      <c r="AO39" s="8"/>
      <c r="AP39" s="8"/>
      <c r="AQ39" s="8"/>
      <c r="AX39" s="18"/>
    </row>
    <row r="40" spans="1:51" x14ac:dyDescent="0.25">
      <c r="A40" s="18"/>
      <c r="H40" s="8"/>
      <c r="S40" s="18"/>
      <c r="AH40" s="53"/>
      <c r="AI40" s="53"/>
      <c r="AJ40" s="53"/>
      <c r="AK40" s="53"/>
      <c r="AL40" s="52"/>
      <c r="AM40" s="5"/>
      <c r="AO40" s="8"/>
      <c r="AP40" s="8"/>
      <c r="AQ40" s="8"/>
      <c r="AX40" s="18"/>
    </row>
    <row r="41" spans="1:51" x14ac:dyDescent="0.25">
      <c r="A41" s="18"/>
      <c r="H41" s="8"/>
      <c r="S41" s="18"/>
      <c r="AH41" s="53"/>
      <c r="AI41" s="53"/>
      <c r="AJ41" s="53"/>
      <c r="AK41" s="53"/>
      <c r="AL41" s="52"/>
      <c r="AM41" s="5"/>
      <c r="AO41" s="8"/>
      <c r="AP41" s="8"/>
      <c r="AQ41" s="8"/>
      <c r="AX41" s="18"/>
    </row>
    <row r="42" spans="1:51" x14ac:dyDescent="0.25">
      <c r="A42" s="18"/>
      <c r="H42" s="8"/>
      <c r="S42" s="18"/>
      <c r="AH42" s="53"/>
      <c r="AI42" s="53"/>
      <c r="AJ42" s="53"/>
      <c r="AK42" s="53"/>
      <c r="AL42" s="52"/>
      <c r="AM42" s="5"/>
      <c r="AO42" s="8"/>
      <c r="AP42" s="8"/>
      <c r="AQ42" s="8"/>
      <c r="AX42" s="18"/>
    </row>
    <row r="43" spans="1:51" x14ac:dyDescent="0.25">
      <c r="A43" s="18"/>
      <c r="H43" s="8"/>
      <c r="S43" s="18"/>
      <c r="AH43" s="53"/>
      <c r="AI43" s="53"/>
      <c r="AJ43" s="53"/>
      <c r="AK43" s="53"/>
      <c r="AL43" s="52"/>
      <c r="AM43" s="5"/>
      <c r="AO43" s="8"/>
      <c r="AP43" s="8"/>
      <c r="AQ43" s="8"/>
      <c r="AX43" s="18"/>
    </row>
    <row r="44" spans="1:51" x14ac:dyDescent="0.25">
      <c r="A44" s="18"/>
      <c r="H44" s="8"/>
      <c r="S44" s="18"/>
      <c r="AH44" s="53"/>
      <c r="AI44" s="53"/>
      <c r="AJ44" s="53"/>
      <c r="AK44" s="53"/>
      <c r="AL44" s="52"/>
      <c r="AM44" s="5"/>
      <c r="AO44" s="8"/>
      <c r="AP44" s="8"/>
      <c r="AQ44" s="8"/>
      <c r="AX44" s="18"/>
    </row>
    <row r="45" spans="1:51" x14ac:dyDescent="0.25">
      <c r="A45" s="18"/>
      <c r="H45" s="8"/>
      <c r="S45" s="18"/>
      <c r="AH45" s="54"/>
      <c r="AI45" s="53"/>
      <c r="AJ45" s="53"/>
      <c r="AK45" s="53"/>
      <c r="AL45" s="52"/>
      <c r="AM45" s="5"/>
      <c r="AO45" s="8"/>
      <c r="AP45" s="8"/>
      <c r="AQ45" s="8"/>
      <c r="AX45" s="18"/>
    </row>
    <row r="46" spans="1:51" x14ac:dyDescent="0.25">
      <c r="A46" s="18"/>
      <c r="H46" s="8"/>
      <c r="S46" s="18"/>
      <c r="AH46" s="53"/>
      <c r="AI46" s="53"/>
      <c r="AJ46" s="53"/>
      <c r="AK46" s="53"/>
      <c r="AL46" s="52"/>
      <c r="AM46" s="5"/>
      <c r="AO46" s="8"/>
      <c r="AP46" s="8"/>
      <c r="AQ46" s="8"/>
      <c r="AX46" s="18"/>
    </row>
    <row r="47" spans="1:51" x14ac:dyDescent="0.25">
      <c r="A47" s="66"/>
      <c r="B47" s="67"/>
      <c r="C47" s="68"/>
      <c r="D47" s="68"/>
      <c r="E47" s="68"/>
      <c r="F47" s="68"/>
      <c r="G47" s="68"/>
      <c r="H47" s="69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6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70"/>
      <c r="AI47" s="70"/>
      <c r="AJ47" s="70"/>
      <c r="AK47" s="70"/>
      <c r="AL47" s="71"/>
      <c r="AM47" s="72"/>
      <c r="AN47" s="67"/>
      <c r="AO47" s="69"/>
      <c r="AP47" s="69"/>
      <c r="AQ47" s="69"/>
      <c r="AR47" s="67"/>
      <c r="AS47" s="67"/>
      <c r="AT47" s="68"/>
      <c r="AU47" s="68"/>
      <c r="AV47" s="67"/>
      <c r="AW47" s="67"/>
      <c r="AX47" s="66"/>
      <c r="AY47" s="67"/>
    </row>
    <row r="48" spans="1:51" x14ac:dyDescent="0.25">
      <c r="A48" s="18"/>
      <c r="H48" s="8"/>
      <c r="S48" s="18"/>
      <c r="AH48" s="53"/>
      <c r="AI48" s="53"/>
      <c r="AJ48" s="53"/>
      <c r="AK48" s="53"/>
      <c r="AL48" s="52"/>
      <c r="AM48" s="5"/>
      <c r="AO48" s="8"/>
      <c r="AP48" s="8"/>
      <c r="AQ48" s="8"/>
      <c r="AX48" s="18"/>
    </row>
    <row r="49" spans="1:50" x14ac:dyDescent="0.25">
      <c r="A49" s="18"/>
      <c r="H49" s="8"/>
      <c r="S49" s="18"/>
      <c r="AH49" s="53"/>
      <c r="AI49" s="53"/>
      <c r="AJ49" s="53"/>
      <c r="AK49" s="53"/>
      <c r="AL49" s="52"/>
      <c r="AM49" s="5"/>
      <c r="AO49" s="8"/>
      <c r="AP49" s="8"/>
      <c r="AQ49" s="8"/>
      <c r="AX49" s="18"/>
    </row>
    <row r="50" spans="1:50" x14ac:dyDescent="0.25">
      <c r="A50" s="18"/>
      <c r="H50" s="8"/>
      <c r="S50" s="18"/>
      <c r="AH50" s="53"/>
      <c r="AI50" s="53"/>
      <c r="AJ50" s="53"/>
      <c r="AK50" s="53"/>
      <c r="AL50" s="52"/>
      <c r="AM50" s="5"/>
      <c r="AO50" s="8"/>
      <c r="AP50" s="8"/>
      <c r="AQ50" s="8"/>
      <c r="AX50" s="18"/>
    </row>
    <row r="51" spans="1:50" x14ac:dyDescent="0.25">
      <c r="A51" s="18"/>
      <c r="H51" s="8"/>
      <c r="S51" s="18"/>
      <c r="AH51" s="53"/>
      <c r="AI51" s="53"/>
      <c r="AJ51" s="53"/>
      <c r="AK51" s="53"/>
      <c r="AL51" s="52"/>
      <c r="AM51" s="5"/>
      <c r="AO51" s="8"/>
      <c r="AP51" s="8"/>
      <c r="AQ51" s="8"/>
      <c r="AX51" s="18"/>
    </row>
    <row r="52" spans="1:50" x14ac:dyDescent="0.25">
      <c r="A52" s="18"/>
      <c r="H52" s="8"/>
      <c r="S52" s="18"/>
      <c r="AH52" s="53"/>
      <c r="AI52" s="53"/>
      <c r="AJ52" s="53"/>
      <c r="AK52" s="53"/>
      <c r="AL52" s="52"/>
      <c r="AM52" s="5"/>
      <c r="AO52" s="8"/>
      <c r="AP52" s="8"/>
      <c r="AQ52" s="8"/>
      <c r="AX52" s="18"/>
    </row>
    <row r="53" spans="1:50" x14ac:dyDescent="0.25">
      <c r="A53" s="18"/>
      <c r="H53" s="8"/>
      <c r="S53" s="18"/>
      <c r="AH53" s="53"/>
      <c r="AI53" s="53"/>
      <c r="AJ53" s="53"/>
      <c r="AK53" s="53"/>
      <c r="AL53" s="52"/>
      <c r="AM53" s="5"/>
      <c r="AO53" s="8"/>
      <c r="AP53" s="8"/>
      <c r="AQ53" s="8"/>
      <c r="AX53" s="18"/>
    </row>
    <row r="54" spans="1:50" x14ac:dyDescent="0.25">
      <c r="A54" s="18"/>
      <c r="H54" s="8"/>
      <c r="S54" s="18"/>
      <c r="AH54" s="53"/>
      <c r="AI54" s="53"/>
      <c r="AJ54" s="53"/>
      <c r="AK54" s="53"/>
      <c r="AL54" s="52"/>
      <c r="AM54" s="5"/>
      <c r="AO54" s="8"/>
      <c r="AP54" s="8"/>
      <c r="AQ54" s="8"/>
      <c r="AX54" s="18"/>
    </row>
    <row r="55" spans="1:50" x14ac:dyDescent="0.25">
      <c r="A55" s="18"/>
      <c r="H55" s="8"/>
      <c r="S55" s="18"/>
      <c r="AH55" s="53"/>
      <c r="AI55" s="53"/>
      <c r="AJ55" s="53"/>
      <c r="AK55" s="53"/>
      <c r="AL55" s="52"/>
      <c r="AM55" s="5"/>
      <c r="AO55" s="8"/>
      <c r="AP55" s="8"/>
      <c r="AQ55" s="8"/>
      <c r="AX55" s="18"/>
    </row>
    <row r="56" spans="1:50" x14ac:dyDescent="0.25">
      <c r="A56" s="18"/>
      <c r="H56" s="8"/>
      <c r="S56" s="18"/>
      <c r="AH56" s="53"/>
      <c r="AI56" s="53"/>
      <c r="AJ56" s="53"/>
      <c r="AK56" s="53"/>
      <c r="AL56" s="52"/>
      <c r="AM56" s="5"/>
      <c r="AO56" s="8"/>
      <c r="AP56" s="8"/>
      <c r="AQ56" s="8"/>
      <c r="AX56" s="18"/>
    </row>
    <row r="57" spans="1:50" x14ac:dyDescent="0.25">
      <c r="A57" s="18"/>
      <c r="H57" s="8"/>
      <c r="S57" s="18"/>
      <c r="AH57" s="53"/>
      <c r="AI57" s="53"/>
      <c r="AJ57" s="53"/>
      <c r="AK57" s="53"/>
      <c r="AL57" s="52"/>
      <c r="AM57" s="5"/>
      <c r="AO57" s="8"/>
      <c r="AP57" s="8"/>
      <c r="AQ57" s="8"/>
      <c r="AX57" s="18"/>
    </row>
    <row r="58" spans="1:50" x14ac:dyDescent="0.25">
      <c r="A58" s="18"/>
      <c r="H58" s="8"/>
      <c r="S58" s="18"/>
      <c r="AH58" s="53"/>
      <c r="AI58" s="53"/>
      <c r="AJ58" s="53"/>
      <c r="AK58" s="53"/>
      <c r="AL58" s="52"/>
      <c r="AM58" s="5"/>
      <c r="AO58" s="8"/>
      <c r="AP58" s="8"/>
      <c r="AQ58" s="8"/>
      <c r="AX58" s="18"/>
    </row>
    <row r="59" spans="1:50" x14ac:dyDescent="0.25">
      <c r="H59" s="8"/>
      <c r="AH59" s="53"/>
      <c r="AI59" s="53"/>
      <c r="AJ59" s="53"/>
      <c r="AK59" s="53"/>
      <c r="AL59" s="8"/>
      <c r="AM59" s="5"/>
      <c r="AO59" s="8"/>
      <c r="AP59" s="8"/>
      <c r="AQ59" s="8"/>
      <c r="AV59" s="23"/>
      <c r="AW59" s="19"/>
    </row>
    <row r="60" spans="1:50" x14ac:dyDescent="0.25">
      <c r="H60" s="8"/>
      <c r="AH60" s="53"/>
      <c r="AI60" s="53"/>
      <c r="AJ60" s="53"/>
      <c r="AK60" s="53"/>
      <c r="AL60" s="8"/>
      <c r="AM60" s="5"/>
      <c r="AO60" s="8"/>
      <c r="AP60" s="8"/>
      <c r="AQ60" s="8"/>
      <c r="AV60" s="23"/>
      <c r="AW60" s="19"/>
    </row>
    <row r="61" spans="1:50" x14ac:dyDescent="0.25">
      <c r="H61" s="8"/>
      <c r="AH61" s="53"/>
      <c r="AI61" s="53"/>
      <c r="AJ61" s="53"/>
      <c r="AK61" s="53"/>
      <c r="AL61" s="8"/>
      <c r="AM61" s="5"/>
      <c r="AO61" s="8"/>
      <c r="AP61" s="8"/>
      <c r="AQ61" s="8"/>
      <c r="AV61" s="23"/>
      <c r="AW61" s="19"/>
    </row>
    <row r="62" spans="1:50" x14ac:dyDescent="0.25">
      <c r="H62" s="8"/>
      <c r="AH62" s="53"/>
      <c r="AI62" s="53"/>
      <c r="AJ62" s="53"/>
      <c r="AK62" s="53"/>
      <c r="AL62" s="8"/>
      <c r="AM62" s="5"/>
      <c r="AO62" s="8"/>
      <c r="AP62" s="8"/>
      <c r="AQ62" s="8"/>
      <c r="AV62" s="23"/>
      <c r="AW62" s="19"/>
    </row>
    <row r="63" spans="1:50" x14ac:dyDescent="0.25">
      <c r="H63" s="8"/>
      <c r="AH63" s="53"/>
      <c r="AI63" s="53"/>
      <c r="AJ63" s="53"/>
      <c r="AK63" s="53"/>
      <c r="AL63" s="8"/>
      <c r="AM63" s="5"/>
      <c r="AO63" s="8"/>
      <c r="AP63" s="8"/>
      <c r="AQ63" s="8"/>
      <c r="AV63" s="23"/>
      <c r="AW63" s="19"/>
    </row>
    <row r="64" spans="1:50" x14ac:dyDescent="0.25">
      <c r="H64" s="8"/>
      <c r="AH64" s="53"/>
      <c r="AI64" s="53"/>
      <c r="AJ64" s="53"/>
      <c r="AK64" s="53"/>
      <c r="AL64" s="8"/>
      <c r="AM64" s="5"/>
      <c r="AO64" s="8"/>
      <c r="AP64" s="8"/>
      <c r="AQ64" s="8"/>
      <c r="AV64" s="23"/>
      <c r="AW64" s="19"/>
    </row>
    <row r="65" spans="8:49" x14ac:dyDescent="0.25">
      <c r="H65" s="8"/>
      <c r="AH65" s="53"/>
      <c r="AI65" s="53"/>
      <c r="AJ65" s="53"/>
      <c r="AK65" s="53"/>
      <c r="AL65" s="8"/>
      <c r="AM65" s="5"/>
      <c r="AO65" s="8"/>
      <c r="AP65" s="8"/>
      <c r="AQ65" s="8"/>
      <c r="AV65" s="23"/>
      <c r="AW65" s="19"/>
    </row>
    <row r="66" spans="8:49" x14ac:dyDescent="0.25">
      <c r="H66" s="8"/>
      <c r="AH66" s="53"/>
      <c r="AI66" s="53"/>
      <c r="AJ66" s="53"/>
      <c r="AK66" s="53"/>
      <c r="AL66" s="8"/>
      <c r="AM66" s="5"/>
      <c r="AO66" s="8"/>
      <c r="AP66" s="8"/>
      <c r="AQ66" s="8"/>
      <c r="AV66" s="23"/>
      <c r="AW66" s="19"/>
    </row>
    <row r="67" spans="8:49" x14ac:dyDescent="0.25">
      <c r="H67" s="8"/>
      <c r="AH67" s="53"/>
      <c r="AI67" s="53"/>
      <c r="AJ67" s="53"/>
      <c r="AK67" s="53"/>
      <c r="AL67" s="8"/>
      <c r="AM67" s="5"/>
      <c r="AO67" s="8"/>
      <c r="AP67" s="8"/>
      <c r="AQ67" s="8"/>
      <c r="AV67" s="23"/>
      <c r="AW67" s="19"/>
    </row>
    <row r="68" spans="8:49" x14ac:dyDescent="0.25">
      <c r="H68" s="8"/>
      <c r="AH68" s="53"/>
      <c r="AI68" s="53"/>
      <c r="AJ68" s="53"/>
      <c r="AK68" s="53"/>
      <c r="AL68" s="8"/>
      <c r="AM68" s="5"/>
      <c r="AO68" s="8"/>
      <c r="AP68" s="8"/>
      <c r="AQ68" s="8"/>
      <c r="AV68" s="23"/>
      <c r="AW68" s="19"/>
    </row>
    <row r="69" spans="8:49" x14ac:dyDescent="0.25">
      <c r="H69" s="8"/>
      <c r="AH69" s="53"/>
      <c r="AI69" s="53"/>
      <c r="AJ69" s="53"/>
      <c r="AK69" s="53"/>
      <c r="AL69" s="8"/>
      <c r="AM69" s="5"/>
      <c r="AO69" s="8"/>
      <c r="AP69" s="8"/>
      <c r="AQ69" s="8"/>
      <c r="AV69" s="23"/>
      <c r="AW69" s="19"/>
    </row>
    <row r="70" spans="8:49" x14ac:dyDescent="0.25">
      <c r="H70" s="8"/>
      <c r="AH70" s="53"/>
      <c r="AI70" s="53"/>
      <c r="AJ70" s="53"/>
      <c r="AK70" s="53"/>
      <c r="AL70" s="8"/>
      <c r="AM70" s="5"/>
      <c r="AO70" s="8"/>
      <c r="AP70" s="8"/>
      <c r="AQ70" s="8"/>
      <c r="AV70" s="23"/>
      <c r="AW70" s="19"/>
    </row>
    <row r="71" spans="8:49" x14ac:dyDescent="0.25">
      <c r="H71" s="8"/>
      <c r="AH71" s="53"/>
      <c r="AI71" s="53"/>
      <c r="AJ71" s="53"/>
      <c r="AK71" s="53"/>
      <c r="AL71" s="8"/>
      <c r="AM71" s="5"/>
      <c r="AO71" s="8"/>
      <c r="AP71" s="8"/>
      <c r="AQ71" s="8"/>
      <c r="AV71" s="23"/>
      <c r="AW71" s="19"/>
    </row>
    <row r="72" spans="8:49" x14ac:dyDescent="0.25">
      <c r="H72" s="8"/>
      <c r="AH72" s="53"/>
      <c r="AI72" s="53"/>
      <c r="AJ72" s="53"/>
      <c r="AK72" s="53"/>
      <c r="AL72" s="8"/>
      <c r="AM72" s="5"/>
      <c r="AO72" s="8"/>
      <c r="AP72" s="8"/>
      <c r="AQ72" s="8"/>
      <c r="AV72" s="23"/>
      <c r="AW72" s="19"/>
    </row>
    <row r="73" spans="8:49" x14ac:dyDescent="0.25">
      <c r="H73" s="8"/>
      <c r="AH73" s="53"/>
      <c r="AI73" s="53"/>
      <c r="AJ73" s="53"/>
      <c r="AK73" s="53"/>
      <c r="AL73" s="8"/>
      <c r="AM73" s="5"/>
      <c r="AO73" s="8"/>
      <c r="AP73" s="8"/>
      <c r="AQ73" s="8"/>
      <c r="AV73" s="23"/>
      <c r="AW73" s="19"/>
    </row>
    <row r="74" spans="8:49" x14ac:dyDescent="0.25">
      <c r="H74" s="8"/>
      <c r="AH74" s="53"/>
      <c r="AI74" s="53"/>
      <c r="AJ74" s="53"/>
      <c r="AK74" s="53"/>
      <c r="AL74" s="8"/>
      <c r="AM74" s="5"/>
      <c r="AO74" s="8"/>
      <c r="AP74" s="8"/>
      <c r="AQ74" s="8"/>
      <c r="AV74" s="23"/>
      <c r="AW74" s="19"/>
    </row>
    <row r="75" spans="8:49" x14ac:dyDescent="0.25">
      <c r="H75" s="8"/>
      <c r="AH75" s="53"/>
      <c r="AI75" s="53"/>
      <c r="AJ75" s="53"/>
      <c r="AK75" s="53"/>
      <c r="AL75" s="8"/>
      <c r="AM75" s="5"/>
      <c r="AO75" s="8"/>
      <c r="AP75" s="8"/>
      <c r="AQ75" s="8"/>
      <c r="AV75" s="23"/>
      <c r="AW75" s="19"/>
    </row>
    <row r="76" spans="8:49" x14ac:dyDescent="0.25">
      <c r="H76" s="8"/>
      <c r="AH76" s="53"/>
      <c r="AI76" s="53"/>
      <c r="AJ76" s="53"/>
      <c r="AK76" s="53"/>
      <c r="AL76" s="8"/>
      <c r="AM76" s="5"/>
      <c r="AO76" s="8"/>
      <c r="AP76" s="8"/>
      <c r="AQ76" s="8"/>
      <c r="AV76" s="23"/>
      <c r="AW76" s="19"/>
    </row>
    <row r="77" spans="8:49" x14ac:dyDescent="0.25">
      <c r="H77" s="8"/>
      <c r="AH77" s="53"/>
      <c r="AI77" s="53"/>
      <c r="AJ77" s="53"/>
      <c r="AK77" s="53"/>
      <c r="AL77" s="8"/>
      <c r="AM77" s="5"/>
      <c r="AO77" s="8"/>
      <c r="AP77" s="8"/>
      <c r="AQ77" s="8"/>
      <c r="AV77" s="23"/>
      <c r="AW77" s="19"/>
    </row>
    <row r="78" spans="8:49" x14ac:dyDescent="0.25">
      <c r="H78" s="8"/>
      <c r="AH78" s="53"/>
      <c r="AI78" s="53"/>
      <c r="AJ78" s="53"/>
      <c r="AK78" s="53"/>
      <c r="AL78" s="8"/>
      <c r="AM78" s="5"/>
      <c r="AO78" s="8"/>
      <c r="AP78" s="8"/>
      <c r="AQ78" s="8"/>
      <c r="AV78" s="23"/>
      <c r="AW78" s="19"/>
    </row>
    <row r="79" spans="8:49" x14ac:dyDescent="0.25">
      <c r="H79" s="8"/>
      <c r="AH79" s="53"/>
      <c r="AI79" s="53"/>
      <c r="AJ79" s="53"/>
      <c r="AK79" s="53"/>
      <c r="AL79" s="8"/>
      <c r="AM79" s="5"/>
      <c r="AO79" s="8"/>
      <c r="AP79" s="8"/>
      <c r="AQ79" s="8"/>
      <c r="AV79" s="23"/>
      <c r="AW79" s="19"/>
    </row>
    <row r="80" spans="8:49" x14ac:dyDescent="0.25">
      <c r="H80" s="8"/>
      <c r="AH80" s="53"/>
      <c r="AI80" s="53"/>
      <c r="AJ80" s="53"/>
      <c r="AK80" s="53"/>
      <c r="AL80" s="8"/>
      <c r="AM80" s="5"/>
      <c r="AO80" s="8"/>
      <c r="AP80" s="8"/>
      <c r="AQ80" s="8"/>
      <c r="AV80" s="23"/>
      <c r="AW80" s="19"/>
    </row>
    <row r="81" spans="8:50" x14ac:dyDescent="0.25">
      <c r="H81" s="8"/>
      <c r="AH81" s="53"/>
      <c r="AI81" s="53"/>
      <c r="AJ81" s="53"/>
      <c r="AK81" s="53"/>
      <c r="AL81" s="8"/>
      <c r="AM81" s="5"/>
      <c r="AO81" s="8"/>
      <c r="AP81" s="8"/>
      <c r="AQ81" s="8"/>
      <c r="AV81" s="23"/>
      <c r="AW81" s="19"/>
    </row>
    <row r="82" spans="8:50" x14ac:dyDescent="0.25">
      <c r="H82" s="8"/>
      <c r="AH82" s="53"/>
      <c r="AI82" s="53"/>
      <c r="AJ82" s="53"/>
      <c r="AK82" s="53"/>
      <c r="AL82" s="8"/>
      <c r="AM82" s="5"/>
      <c r="AO82" s="8"/>
      <c r="AP82" s="8"/>
      <c r="AQ82" s="8"/>
      <c r="AX82" s="18"/>
    </row>
    <row r="83" spans="8:50" x14ac:dyDescent="0.25">
      <c r="H83" s="8"/>
      <c r="AH83" s="53"/>
      <c r="AI83" s="53"/>
      <c r="AJ83" s="53"/>
      <c r="AK83" s="53"/>
      <c r="AL83" s="8"/>
      <c r="AM83" s="5"/>
      <c r="AO83" s="8"/>
      <c r="AP83" s="8"/>
      <c r="AQ83" s="8"/>
      <c r="AX83" s="18"/>
    </row>
    <row r="84" spans="8:50" x14ac:dyDescent="0.25">
      <c r="H84" s="8"/>
      <c r="AH84" s="53"/>
      <c r="AI84" s="53"/>
      <c r="AJ84" s="53"/>
      <c r="AK84" s="53"/>
      <c r="AL84" s="8"/>
      <c r="AM84" s="5"/>
      <c r="AO84" s="8"/>
      <c r="AP84" s="8"/>
      <c r="AQ84" s="8"/>
      <c r="AV84" s="23"/>
      <c r="AW84" s="19"/>
    </row>
    <row r="85" spans="8:50" x14ac:dyDescent="0.25">
      <c r="H85" s="8"/>
      <c r="AH85" s="53"/>
      <c r="AI85" s="53"/>
      <c r="AJ85" s="53"/>
      <c r="AK85" s="53"/>
      <c r="AL85" s="8"/>
      <c r="AM85" s="5"/>
      <c r="AO85" s="8"/>
      <c r="AP85" s="8"/>
      <c r="AQ85" s="8"/>
      <c r="AV85" s="23"/>
      <c r="AW85" s="19"/>
    </row>
    <row r="86" spans="8:50" x14ac:dyDescent="0.25">
      <c r="H86" s="8"/>
      <c r="AH86" s="53"/>
      <c r="AI86" s="53"/>
      <c r="AJ86" s="53"/>
      <c r="AK86" s="53"/>
      <c r="AL86" s="8"/>
      <c r="AM86" s="5"/>
      <c r="AO86" s="8"/>
      <c r="AP86" s="8"/>
      <c r="AQ86" s="8"/>
      <c r="AV86" s="23"/>
      <c r="AW86" s="19"/>
    </row>
    <row r="87" spans="8:50" x14ac:dyDescent="0.25">
      <c r="H87" s="8"/>
      <c r="AH87" s="53"/>
      <c r="AI87" s="53"/>
      <c r="AJ87" s="53"/>
      <c r="AK87" s="53"/>
      <c r="AL87" s="8"/>
      <c r="AM87" s="5"/>
      <c r="AO87" s="8"/>
      <c r="AP87" s="8"/>
      <c r="AQ87" s="8"/>
      <c r="AV87" s="23"/>
      <c r="AW87" s="19"/>
    </row>
    <row r="88" spans="8:50" x14ac:dyDescent="0.25">
      <c r="H88" s="8"/>
      <c r="AH88" s="53"/>
      <c r="AI88" s="53"/>
      <c r="AJ88" s="53"/>
      <c r="AK88" s="53"/>
      <c r="AL88" s="8"/>
      <c r="AM88" s="5"/>
      <c r="AO88" s="8"/>
      <c r="AP88" s="8"/>
      <c r="AQ88" s="8"/>
      <c r="AV88" s="23"/>
      <c r="AW88" s="19"/>
    </row>
    <row r="89" spans="8:50" x14ac:dyDescent="0.25">
      <c r="H89" s="8"/>
      <c r="AH89" s="53"/>
      <c r="AI89" s="53"/>
      <c r="AJ89" s="53"/>
      <c r="AK89" s="53"/>
      <c r="AL89" s="8"/>
      <c r="AM89" s="5"/>
      <c r="AO89" s="8"/>
      <c r="AP89" s="8"/>
      <c r="AQ89" s="8"/>
      <c r="AV89" s="23"/>
      <c r="AW89" s="19"/>
    </row>
    <row r="90" spans="8:50" x14ac:dyDescent="0.25">
      <c r="H90" s="8"/>
      <c r="AH90" s="53"/>
      <c r="AI90" s="53"/>
      <c r="AJ90" s="53"/>
      <c r="AK90" s="53"/>
      <c r="AL90" s="8"/>
      <c r="AM90" s="5"/>
      <c r="AO90" s="8"/>
      <c r="AP90" s="8"/>
      <c r="AQ90" s="8"/>
      <c r="AV90" s="23"/>
      <c r="AW90" s="19"/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um" ma:contentTypeID="0x01010004FC8DF46BDACC43B7224B6C2DA35C6B" ma:contentTypeVersion="16" ma:contentTypeDescription="Új dokumentum létrehozása." ma:contentTypeScope="" ma:versionID="3455fb1b1301108a32c4d2e63e209023">
  <xsd:schema xmlns:xsd="http://www.w3.org/2001/XMLSchema" xmlns:xs="http://www.w3.org/2001/XMLSchema" xmlns:p="http://schemas.microsoft.com/office/2006/metadata/properties" xmlns:ns3="8e48f289-5353-4ab7-8297-264b36d46c9a" xmlns:ns4="9976d6ac-ad26-4a9c-92de-9180d1f1ccf7" targetNamespace="http://schemas.microsoft.com/office/2006/metadata/properties" ma:root="true" ma:fieldsID="f57ff13d565b622e6f4f2085fac5d425" ns3:_="" ns4:_="">
    <xsd:import namespace="8e48f289-5353-4ab7-8297-264b36d46c9a"/>
    <xsd:import namespace="9976d6ac-ad26-4a9c-92de-9180d1f1cc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8f289-5353-4ab7-8297-264b36d46c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76d6ac-ad26-4a9c-92de-9180d1f1ccf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Résztvevők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Megosztva részletekkel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Megosztási tipp kivonat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artalomtípus"/>
        <xsd:element ref="dc:title" minOccurs="0" maxOccurs="1" ma:index="4" ma:displayName="Cím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e48f289-5353-4ab7-8297-264b36d46c9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35B6796-2AE1-4B32-8B5B-F250481CA6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48f289-5353-4ab7-8297-264b36d46c9a"/>
    <ds:schemaRef ds:uri="9976d6ac-ad26-4a9c-92de-9180d1f1cc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4215F5-FBB1-4BAA-9FF9-5F1F652EE3A1}">
  <ds:schemaRefs>
    <ds:schemaRef ds:uri="8e48f289-5353-4ab7-8297-264b36d46c9a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976d6ac-ad26-4a9c-92de-9180d1f1ccf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410C20A-DB64-4EAE-8E06-23037F9522A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DF91874-F683-4CAE-8CDB-C77D425A0C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control</vt:lpstr>
      <vt:lpstr>raw_data</vt:lpstr>
      <vt:lpstr>általános sablon</vt:lpstr>
      <vt:lpstr>mapping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Pintér Csaba</dc:creator>
  <cp:lastModifiedBy>Norbert Králik</cp:lastModifiedBy>
  <dcterms:created xsi:type="dcterms:W3CDTF">2006-12-06T08:47:48Z</dcterms:created>
  <dcterms:modified xsi:type="dcterms:W3CDTF">2026-02-10T14:58:45Z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0x01010004FC8DF46BDACC43B7224B6C2DA35C6B</vt:lpwstr>
  </property>
</Properties>
</file>